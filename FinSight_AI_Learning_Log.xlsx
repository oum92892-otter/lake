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ily Log" sheetId="2" state="visible" r:id="rId4"/>
    <sheet name="Dashboard" sheetId="3" state="visible" r:id="rId5"/>
    <sheet name="Skills 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<sst xmlns="http://schemas.openxmlformats.org/spreadsheetml/2006/main" count="183" uniqueCount="138">
  <si>
    <r>
      <rPr>
        <b val="true"/>
        <sz val="18"/>
        <color rgb="FF1F4E78"/>
        <rFont val="Arial"/>
        <family val="0"/>
        <charset val="1"/>
      </rPr>
      <t xml:space="preserve">FinSight AI — Learning Tracker </t>
    </r>
    <r>
      <rPr>
        <b val="true"/>
        <sz val="18"/>
        <color rgb="FF1F4E78"/>
        <rFont val="DejaVu Sans"/>
        <family val="2"/>
      </rPr>
      <t xml:space="preserve">使用說明</t>
    </r>
  </si>
  <si>
    <t xml:space="preserve">用咩</t>
  </si>
  <si>
    <t xml:space="preserve">點用</t>
  </si>
  <si>
    <r>
      <rPr>
        <b val="true"/>
        <sz val="11"/>
        <color rgb="FF000000"/>
        <rFont val="Arial"/>
        <family val="0"/>
        <charset val="1"/>
      </rPr>
      <t xml:space="preserve">📅 Daily Log </t>
    </r>
    <r>
      <rPr>
        <b val="true"/>
        <sz val="11"/>
        <color rgb="FF000000"/>
        <rFont val="DejaVu Sans"/>
        <family val="2"/>
      </rPr>
      <t xml:space="preserve">每日日誌</t>
    </r>
  </si>
  <si>
    <r>
      <rPr>
        <sz val="11"/>
        <color rgb="FF000000"/>
        <rFont val="DejaVu Sans"/>
        <family val="2"/>
      </rPr>
      <t xml:space="preserve">每日學完，喺最底加一行：日期、時數、主題、子主題、學咗咩、</t>
    </r>
    <r>
      <rPr>
        <sz val="11"/>
        <color rgb="FF000000"/>
        <rFont val="Arial"/>
        <family val="0"/>
        <charset val="1"/>
      </rPr>
      <t xml:space="preserve">Confidence (1-5)</t>
    </r>
    <r>
      <rPr>
        <sz val="11"/>
        <color rgb="FF000000"/>
        <rFont val="DejaVu Sans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Mood (1-5)</t>
    </r>
    <r>
      <rPr>
        <sz val="11"/>
        <color rgb="FF000000"/>
        <rFont val="DejaVu Sans"/>
        <family val="2"/>
      </rPr>
      <t xml:space="preserve">、備註。
黃色 </t>
    </r>
    <r>
      <rPr>
        <sz val="11"/>
        <color rgb="FF000000"/>
        <rFont val="Arial"/>
        <family val="0"/>
        <charset val="1"/>
      </rPr>
      <t xml:space="preserve">cells = </t>
    </r>
    <r>
      <rPr>
        <sz val="11"/>
        <color rgb="FF000000"/>
        <rFont val="DejaVu Sans"/>
        <family val="2"/>
      </rPr>
      <t xml:space="preserve">你填。</t>
    </r>
    <r>
      <rPr>
        <sz val="11"/>
        <color rgb="FF000000"/>
        <rFont val="Arial"/>
        <family val="0"/>
        <charset val="1"/>
      </rPr>
      <t xml:space="preserve">Day# </t>
    </r>
    <r>
      <rPr>
        <sz val="11"/>
        <color rgb="FF000000"/>
        <rFont val="DejaVu Sans"/>
        <family val="2"/>
      </rPr>
      <t xml:space="preserve">同累計時數會自動計。</t>
    </r>
  </si>
  <si>
    <r>
      <rPr>
        <b val="true"/>
        <sz val="11"/>
        <color rgb="FF000000"/>
        <rFont val="Arial"/>
        <family val="0"/>
        <charset val="1"/>
      </rPr>
      <t xml:space="preserve">📊 Dashboard </t>
    </r>
    <r>
      <rPr>
        <b val="true"/>
        <sz val="11"/>
        <color rgb="FF000000"/>
        <rFont val="DejaVu Sans"/>
        <family val="2"/>
      </rPr>
      <t xml:space="preserve">進度總覽</t>
    </r>
  </si>
  <si>
    <r>
      <rPr>
        <sz val="11"/>
        <color rgb="FF000000"/>
        <rFont val="DejaVu Sans"/>
        <family val="2"/>
      </rPr>
      <t xml:space="preserve">睇你今日落咗幾多時間、平均、距離目標仲有幾多日、進度比目標快定慢。
右邊兩個圖：</t>
    </r>
    <r>
      <rPr>
        <sz val="11"/>
        <color rgb="FF000000"/>
        <rFont val="Arial"/>
        <family val="0"/>
        <charset val="1"/>
      </rPr>
      <t xml:space="preserve">Hours by Topic</t>
    </r>
    <r>
      <rPr>
        <sz val="11"/>
        <color rgb="FF000000"/>
        <rFont val="DejaVu Sans"/>
        <family val="2"/>
      </rPr>
      <t xml:space="preserve">（主題分配）、</t>
    </r>
    <r>
      <rPr>
        <sz val="11"/>
        <color rgb="FF000000"/>
        <rFont val="Arial"/>
        <family val="0"/>
        <charset val="1"/>
      </rPr>
      <t xml:space="preserve">Cumulative Hours</t>
    </r>
    <r>
      <rPr>
        <sz val="11"/>
        <color rgb="FF000000"/>
        <rFont val="DejaVu Sans"/>
        <family val="2"/>
      </rPr>
      <t xml:space="preserve">（累計曲線）。</t>
    </r>
  </si>
  <si>
    <r>
      <rPr>
        <b val="true"/>
        <sz val="11"/>
        <color rgb="FF000000"/>
        <rFont val="Arial"/>
        <family val="0"/>
        <charset val="1"/>
      </rPr>
      <t xml:space="preserve">🎯 Skills Roadmap </t>
    </r>
    <r>
      <rPr>
        <b val="true"/>
        <sz val="11"/>
        <color rgb="FF000000"/>
        <rFont val="DejaVu Sans"/>
        <family val="2"/>
      </rPr>
      <t xml:space="preserve">技能路線圖</t>
    </r>
  </si>
  <si>
    <r>
      <rPr>
        <sz val="11"/>
        <color rgb="FF000000"/>
        <rFont val="Arial"/>
        <family val="0"/>
        <charset val="1"/>
      </rPr>
      <t xml:space="preserve">22 </t>
    </r>
    <r>
      <rPr>
        <sz val="11"/>
        <color rgb="FF000000"/>
        <rFont val="DejaVu Sans"/>
        <family val="2"/>
      </rPr>
      <t xml:space="preserve">個 </t>
    </r>
    <r>
      <rPr>
        <sz val="11"/>
        <color rgb="FF000000"/>
        <rFont val="Arial"/>
        <family val="0"/>
        <charset val="1"/>
      </rPr>
      <t xml:space="preserve">Fintech AI Engineer </t>
    </r>
    <r>
      <rPr>
        <sz val="11"/>
        <color rgb="FF000000"/>
        <rFont val="DejaVu Sans"/>
        <family val="2"/>
      </rPr>
      <t xml:space="preserve">必備技能。</t>
    </r>
    <r>
      <rPr>
        <sz val="11"/>
        <color rgb="FF000000"/>
        <rFont val="Arial"/>
        <family val="0"/>
        <charset val="1"/>
      </rPr>
      <t xml:space="preserve">Status </t>
    </r>
    <r>
      <rPr>
        <sz val="11"/>
        <color rgb="FF000000"/>
        <rFont val="DejaVu Sans"/>
        <family val="2"/>
      </rPr>
      <t xml:space="preserve">一欄揀返：</t>
    </r>
    <r>
      <rPr>
        <sz val="11"/>
        <color rgb="FF000000"/>
        <rFont val="Arial"/>
        <family val="0"/>
        <charset val="1"/>
      </rPr>
      <t xml:space="preserve">Not started / Learning / In progress / Done ✓</t>
    </r>
    <r>
      <rPr>
        <sz val="11"/>
        <color rgb="FF000000"/>
        <rFont val="DejaVu Sans"/>
        <family val="2"/>
      </rPr>
      <t xml:space="preserve">。
底部會自動算完成度。</t>
    </r>
  </si>
  <si>
    <t xml:space="preserve">⚙️ 改你嘅目標</t>
  </si>
  <si>
    <r>
      <rPr>
        <sz val="11"/>
        <color rgb="FF000000"/>
        <rFont val="DejaVu Sans"/>
        <family val="2"/>
      </rPr>
      <t xml:space="preserve">去 </t>
    </r>
    <r>
      <rPr>
        <sz val="11"/>
        <color rgb="FF000000"/>
        <rFont val="Arial"/>
        <family val="0"/>
        <charset val="1"/>
      </rPr>
      <t xml:space="preserve">Dashboard</t>
    </r>
    <r>
      <rPr>
        <sz val="11"/>
        <color rgb="FF000000"/>
        <rFont val="DejaVu Sans"/>
        <family val="2"/>
      </rPr>
      <t xml:space="preserve">，改 </t>
    </r>
    <r>
      <rPr>
        <sz val="11"/>
        <color rgb="FF000000"/>
        <rFont val="Arial"/>
        <family val="0"/>
        <charset val="1"/>
      </rPr>
      <t xml:space="preserve">B5 (</t>
    </r>
    <r>
      <rPr>
        <sz val="11"/>
        <color rgb="FF000000"/>
        <rFont val="DejaVu Sans"/>
        <family val="2"/>
      </rPr>
      <t xml:space="preserve">開始日期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DejaVu Sans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B6 (</t>
    </r>
    <r>
      <rPr>
        <sz val="11"/>
        <color rgb="FF000000"/>
        <rFont val="DejaVu Sans"/>
        <family val="2"/>
      </rPr>
      <t xml:space="preserve">目標日期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DejaVu Sans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B7 (</t>
    </r>
    <r>
      <rPr>
        <sz val="11"/>
        <color rgb="FF000000"/>
        <rFont val="DejaVu Sans"/>
        <family val="2"/>
      </rPr>
      <t xml:space="preserve">每日目標時數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DejaVu Sans"/>
        <family val="2"/>
      </rPr>
      <t xml:space="preserve">就得。</t>
    </r>
  </si>
  <si>
    <t xml:space="preserve">💡 小提示</t>
  </si>
  <si>
    <r>
      <rPr>
        <sz val="11"/>
        <color rgb="FF000000"/>
        <rFont val="DejaVu Sans"/>
        <family val="2"/>
      </rPr>
      <t xml:space="preserve">每晚收工前 </t>
    </r>
    <r>
      <rPr>
        <sz val="11"/>
        <color rgb="FF000000"/>
        <rFont val="Arial"/>
        <family val="0"/>
        <charset val="1"/>
      </rPr>
      <t xml:space="preserve">2 </t>
    </r>
    <r>
      <rPr>
        <sz val="11"/>
        <color rgb="FF000000"/>
        <rFont val="DejaVu Sans"/>
        <family val="2"/>
      </rPr>
      <t xml:space="preserve">分鐘填日誌就夠。連續 </t>
    </r>
    <r>
      <rPr>
        <sz val="11"/>
        <color rgb="FF000000"/>
        <rFont val="Arial"/>
        <family val="0"/>
        <charset val="1"/>
      </rPr>
      <t xml:space="preserve">7 </t>
    </r>
    <r>
      <rPr>
        <sz val="11"/>
        <color rgb="FF000000"/>
        <rFont val="DejaVu Sans"/>
        <family val="2"/>
      </rPr>
      <t xml:space="preserve">日全填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一個 </t>
    </r>
    <r>
      <rPr>
        <sz val="11"/>
        <color rgb="FF000000"/>
        <rFont val="Arial"/>
        <family val="0"/>
        <charset val="1"/>
      </rPr>
      <t xml:space="preserve">milestone</t>
    </r>
    <r>
      <rPr>
        <sz val="11"/>
        <color rgb="FF000000"/>
        <rFont val="DejaVu Sans"/>
        <family val="2"/>
      </rPr>
      <t xml:space="preserve">。
</t>
    </r>
    <r>
      <rPr>
        <sz val="11"/>
        <color rgb="FF000000"/>
        <rFont val="Arial"/>
        <family val="0"/>
        <charset val="1"/>
      </rPr>
      <t xml:space="preserve">Topic </t>
    </r>
    <r>
      <rPr>
        <sz val="11"/>
        <color rgb="FF000000"/>
        <rFont val="DejaVu Sans"/>
        <family val="2"/>
      </rPr>
      <t xml:space="preserve">寫法要一致（例如全部用『</t>
    </r>
    <r>
      <rPr>
        <sz val="11"/>
        <color rgb="FF000000"/>
        <rFont val="Arial"/>
        <family val="0"/>
        <charset val="1"/>
      </rPr>
      <t xml:space="preserve">Python </t>
    </r>
    <r>
      <rPr>
        <sz val="11"/>
        <color rgb="FF000000"/>
        <rFont val="DejaVu Sans"/>
        <family val="2"/>
      </rPr>
      <t xml:space="preserve">基礎』）先可以喺 </t>
    </r>
    <r>
      <rPr>
        <sz val="11"/>
        <color rgb="FF000000"/>
        <rFont val="Arial"/>
        <family val="0"/>
        <charset val="1"/>
      </rPr>
      <t xml:space="preserve">Dashboard </t>
    </r>
    <r>
      <rPr>
        <sz val="11"/>
        <color rgb="FF000000"/>
        <rFont val="DejaVu Sans"/>
        <family val="2"/>
      </rPr>
      <t xml:space="preserve">統計到。</t>
    </r>
  </si>
  <si>
    <r>
      <rPr>
        <b val="true"/>
        <sz val="16"/>
        <color rgb="FF1F4E78"/>
        <rFont val="Arial"/>
        <family val="0"/>
        <charset val="1"/>
      </rPr>
      <t xml:space="preserve">FinSight AI — Daily Learning Log </t>
    </r>
    <r>
      <rPr>
        <b val="true"/>
        <sz val="16"/>
        <color rgb="FF1F4E78"/>
        <rFont val="DejaVu Sans"/>
        <family val="2"/>
      </rPr>
      <t xml:space="preserve">每日學習日誌</t>
    </r>
  </si>
  <si>
    <r>
      <rPr>
        <i val="true"/>
        <sz val="10"/>
        <color rgb="FF595959"/>
        <rFont val="DejaVu Sans"/>
        <family val="2"/>
      </rPr>
      <t xml:space="preserve">黃色 </t>
    </r>
    <r>
      <rPr>
        <i val="true"/>
        <sz val="10"/>
        <color rgb="FF595959"/>
        <rFont val="Arial"/>
        <family val="0"/>
        <charset val="1"/>
      </rPr>
      <t xml:space="preserve">cell = </t>
    </r>
    <r>
      <rPr>
        <i val="true"/>
        <sz val="10"/>
        <color rgb="FF595959"/>
        <rFont val="DejaVu Sans"/>
        <family val="2"/>
      </rPr>
      <t xml:space="preserve">你要填嘅嘢。每日返嚟加一行就得。</t>
    </r>
    <r>
      <rPr>
        <i val="true"/>
        <sz val="10"/>
        <color rgb="FF595959"/>
        <rFont val="Arial"/>
        <family val="0"/>
        <charset val="1"/>
      </rPr>
      <t xml:space="preserve">Day# </t>
    </r>
    <r>
      <rPr>
        <i val="true"/>
        <sz val="10"/>
        <color rgb="FF595959"/>
        <rFont val="DejaVu Sans"/>
        <family val="2"/>
      </rPr>
      <t xml:space="preserve">同 </t>
    </r>
    <r>
      <rPr>
        <i val="true"/>
        <sz val="10"/>
        <color rgb="FF595959"/>
        <rFont val="Arial"/>
        <family val="0"/>
        <charset val="1"/>
      </rPr>
      <t xml:space="preserve">Dashboard </t>
    </r>
    <r>
      <rPr>
        <i val="true"/>
        <sz val="10"/>
        <color rgb="FF595959"/>
        <rFont val="DejaVu Sans"/>
        <family val="2"/>
      </rPr>
      <t xml:space="preserve">會自動更新。 </t>
    </r>
    <r>
      <rPr>
        <i val="true"/>
        <sz val="10"/>
        <color rgb="FF595959"/>
        <rFont val="Arial"/>
        <family val="0"/>
        <charset val="1"/>
      </rPr>
      <t xml:space="preserve">(Yellow cells = your input. Add one row per day.)</t>
    </r>
  </si>
  <si>
    <r>
      <rPr>
        <b val="true"/>
        <sz val="11"/>
        <color rgb="FFFFFFFF"/>
        <rFont val="Arial"/>
        <family val="0"/>
        <charset val="1"/>
      </rPr>
      <t xml:space="preserve">Date </t>
    </r>
    <r>
      <rPr>
        <b val="true"/>
        <sz val="11"/>
        <color rgb="FFFFFFFF"/>
        <rFont val="DejaVu Sans"/>
        <family val="2"/>
      </rPr>
      <t xml:space="preserve">日期</t>
    </r>
  </si>
  <si>
    <r>
      <rPr>
        <b val="true"/>
        <sz val="11"/>
        <color rgb="FFFFFFFF"/>
        <rFont val="Arial"/>
        <family val="0"/>
        <charset val="1"/>
      </rPr>
      <t xml:space="preserve">Day # </t>
    </r>
    <r>
      <rPr>
        <b val="true"/>
        <sz val="11"/>
        <color rgb="FFFFFFFF"/>
        <rFont val="DejaVu Sans"/>
        <family val="2"/>
      </rPr>
      <t xml:space="preserve">第幾日</t>
    </r>
  </si>
  <si>
    <r>
      <rPr>
        <b val="true"/>
        <sz val="11"/>
        <color rgb="FFFFFFFF"/>
        <rFont val="Arial"/>
        <family val="0"/>
        <charset val="1"/>
      </rPr>
      <t xml:space="preserve">Hours </t>
    </r>
    <r>
      <rPr>
        <b val="true"/>
        <sz val="11"/>
        <color rgb="FFFFFFFF"/>
        <rFont val="DejaVu Sans"/>
        <family val="2"/>
      </rPr>
      <t xml:space="preserve">時數</t>
    </r>
  </si>
  <si>
    <r>
      <rPr>
        <b val="true"/>
        <sz val="11"/>
        <color rgb="FFFFFFFF"/>
        <rFont val="Arial"/>
        <family val="0"/>
        <charset val="1"/>
      </rPr>
      <t xml:space="preserve">Topic </t>
    </r>
    <r>
      <rPr>
        <b val="true"/>
        <sz val="11"/>
        <color rgb="FFFFFFFF"/>
        <rFont val="DejaVu Sans"/>
        <family val="2"/>
      </rPr>
      <t xml:space="preserve">主題</t>
    </r>
  </si>
  <si>
    <r>
      <rPr>
        <b val="true"/>
        <sz val="11"/>
        <color rgb="FFFFFFFF"/>
        <rFont val="Arial"/>
        <family val="0"/>
        <charset val="1"/>
      </rPr>
      <t xml:space="preserve">Sub-topic / Resource </t>
    </r>
    <r>
      <rPr>
        <b val="true"/>
        <sz val="11"/>
        <color rgb="FFFFFFFF"/>
        <rFont val="DejaVu Sans"/>
        <family val="2"/>
      </rPr>
      <t xml:space="preserve">子主題</t>
    </r>
  </si>
  <si>
    <r>
      <rPr>
        <b val="true"/>
        <sz val="11"/>
        <color rgb="FFFFFFFF"/>
        <rFont val="Arial"/>
        <family val="0"/>
        <charset val="1"/>
      </rPr>
      <t xml:space="preserve">What I learned </t>
    </r>
    <r>
      <rPr>
        <b val="true"/>
        <sz val="11"/>
        <color rgb="FFFFFFFF"/>
        <rFont val="DejaVu Sans"/>
        <family val="2"/>
      </rPr>
      <t xml:space="preserve">學咗咩</t>
    </r>
  </si>
  <si>
    <r>
      <rPr>
        <b val="true"/>
        <sz val="11"/>
        <color rgb="FFFFFFFF"/>
        <rFont val="Arial"/>
        <family val="0"/>
        <charset val="1"/>
      </rPr>
      <t xml:space="preserve">Confidence </t>
    </r>
    <r>
      <rPr>
        <b val="true"/>
        <sz val="11"/>
        <color rgb="FFFFFFFF"/>
        <rFont val="DejaVu Sans"/>
        <family val="2"/>
      </rPr>
      <t xml:space="preserve">理解 </t>
    </r>
    <r>
      <rPr>
        <b val="true"/>
        <sz val="11"/>
        <color rgb="FFFFFFFF"/>
        <rFont val="Arial"/>
        <family val="0"/>
        <charset val="1"/>
      </rPr>
      <t xml:space="preserve">(1-5)</t>
    </r>
  </si>
  <si>
    <r>
      <rPr>
        <b val="true"/>
        <sz val="11"/>
        <color rgb="FFFFFFFF"/>
        <rFont val="Arial"/>
        <family val="0"/>
        <charset val="1"/>
      </rPr>
      <t xml:space="preserve">Mood </t>
    </r>
    <r>
      <rPr>
        <b val="true"/>
        <sz val="11"/>
        <color rgb="FFFFFFFF"/>
        <rFont val="DejaVu Sans"/>
        <family val="2"/>
      </rPr>
      <t xml:space="preserve">狀態 </t>
    </r>
    <r>
      <rPr>
        <b val="true"/>
        <sz val="11"/>
        <color rgb="FFFFFFFF"/>
        <rFont val="Arial"/>
        <family val="0"/>
        <charset val="1"/>
      </rPr>
      <t xml:space="preserve">(1-5)</t>
    </r>
  </si>
  <si>
    <r>
      <rPr>
        <b val="true"/>
        <sz val="11"/>
        <color rgb="FFFFFFFF"/>
        <rFont val="Arial"/>
        <family val="0"/>
        <charset val="1"/>
      </rPr>
      <t xml:space="preserve">Notes </t>
    </r>
    <r>
      <rPr>
        <b val="true"/>
        <sz val="11"/>
        <color rgb="FFFFFFFF"/>
        <rFont val="DejaVu Sans"/>
        <family val="2"/>
      </rPr>
      <t xml:space="preserve">備註</t>
    </r>
  </si>
  <si>
    <r>
      <rPr>
        <b val="true"/>
        <sz val="11"/>
        <color rgb="FFFFFFFF"/>
        <rFont val="Arial"/>
        <family val="0"/>
        <charset val="1"/>
      </rPr>
      <t xml:space="preserve">Cumulative hrs </t>
    </r>
    <r>
      <rPr>
        <b val="true"/>
        <sz val="11"/>
        <color rgb="FFFFFFFF"/>
        <rFont val="DejaVu Sans"/>
        <family val="2"/>
      </rPr>
      <t xml:space="preserve">累計</t>
    </r>
  </si>
  <si>
    <r>
      <rPr>
        <sz val="11"/>
        <color rgb="FF000000"/>
        <rFont val="Arial"/>
        <family val="0"/>
        <charset val="1"/>
      </rPr>
      <t xml:space="preserve">Python </t>
    </r>
    <r>
      <rPr>
        <sz val="11"/>
        <color rgb="FF000000"/>
        <rFont val="DejaVu Sans"/>
        <family val="2"/>
      </rPr>
      <t xml:space="preserve">基礎</t>
    </r>
  </si>
  <si>
    <t xml:space="preserve">List comprehension + pandas intro</t>
  </si>
  <si>
    <r>
      <rPr>
        <sz val="11"/>
        <color rgb="FF000000"/>
        <rFont val="DejaVu Sans"/>
        <family val="2"/>
      </rPr>
      <t xml:space="preserve">今日溫習 </t>
    </r>
    <r>
      <rPr>
        <sz val="11"/>
        <color rgb="FF000000"/>
        <rFont val="Arial"/>
        <family val="0"/>
        <charset val="1"/>
      </rPr>
      <t xml:space="preserve">Python list/dict comprehension</t>
    </r>
    <r>
      <rPr>
        <sz val="11"/>
        <color rgb="FF000000"/>
        <rFont val="DejaVu Sans"/>
        <family val="2"/>
      </rPr>
      <t xml:space="preserve">，再讀 </t>
    </r>
    <r>
      <rPr>
        <sz val="11"/>
        <color rgb="FF000000"/>
        <rFont val="Arial"/>
        <family val="0"/>
        <charset val="1"/>
      </rPr>
      <t xml:space="preserve">pandas DataFrame </t>
    </r>
    <r>
      <rPr>
        <sz val="11"/>
        <color rgb="FF000000"/>
        <rFont val="DejaVu Sans"/>
        <family val="2"/>
      </rPr>
      <t xml:space="preserve">基本操作</t>
    </r>
  </si>
  <si>
    <r>
      <rPr>
        <sz val="11"/>
        <color rgb="FF000000"/>
        <rFont val="DejaVu Sans"/>
        <family val="2"/>
      </rPr>
      <t xml:space="preserve">覺得 </t>
    </r>
    <r>
      <rPr>
        <sz val="11"/>
        <color rgb="FF000000"/>
        <rFont val="Arial"/>
        <family val="0"/>
        <charset val="1"/>
      </rPr>
      <t xml:space="preserve">pandas </t>
    </r>
    <r>
      <rPr>
        <sz val="11"/>
        <color rgb="FF000000"/>
        <rFont val="DejaVu Sans"/>
        <family val="2"/>
      </rPr>
      <t xml:space="preserve">嘅 </t>
    </r>
    <r>
      <rPr>
        <sz val="11"/>
        <color rgb="FF000000"/>
        <rFont val="Arial"/>
        <family val="0"/>
        <charset val="1"/>
      </rPr>
      <t xml:space="preserve">.loc </t>
    </r>
    <r>
      <rPr>
        <sz val="11"/>
        <color rgb="FF000000"/>
        <rFont val="DejaVu Sans"/>
        <family val="2"/>
      </rPr>
      <t xml:space="preserve">同 </t>
    </r>
    <r>
      <rPr>
        <sz val="11"/>
        <color rgb="FF000000"/>
        <rFont val="Arial"/>
        <family val="0"/>
        <charset val="1"/>
      </rPr>
      <t xml:space="preserve">.iloc </t>
    </r>
    <r>
      <rPr>
        <sz val="11"/>
        <color rgb="FF000000"/>
        <rFont val="DejaVu Sans"/>
        <family val="2"/>
      </rPr>
      <t xml:space="preserve">仲要再練</t>
    </r>
  </si>
  <si>
    <r>
      <rPr>
        <b val="true"/>
        <sz val="16"/>
        <color rgb="FF1F4E78"/>
        <rFont val="Arial"/>
        <family val="0"/>
        <charset val="1"/>
      </rPr>
      <t xml:space="preserve">FinSight AI — Progress Dashboard </t>
    </r>
    <r>
      <rPr>
        <b val="true"/>
        <sz val="16"/>
        <color rgb="FF1F4E78"/>
        <rFont val="DejaVu Sans"/>
        <family val="2"/>
      </rPr>
      <t xml:space="preserve">進度總覽</t>
    </r>
  </si>
  <si>
    <r>
      <rPr>
        <i val="true"/>
        <sz val="10"/>
        <color rgb="FF595959"/>
        <rFont val="DejaVu Sans"/>
        <family val="2"/>
      </rPr>
      <t xml:space="preserve">目標：</t>
    </r>
    <r>
      <rPr>
        <i val="true"/>
        <sz val="10"/>
        <color rgb="FF595959"/>
        <rFont val="Arial"/>
        <family val="0"/>
        <charset val="1"/>
      </rPr>
      <t xml:space="preserve">6 </t>
    </r>
    <r>
      <rPr>
        <i val="true"/>
        <sz val="10"/>
        <color rgb="FF595959"/>
        <rFont val="DejaVu Sans"/>
        <family val="2"/>
      </rPr>
      <t xml:space="preserve">個月後搵第一份 </t>
    </r>
    <r>
      <rPr>
        <i val="true"/>
        <sz val="10"/>
        <color rgb="FF595959"/>
        <rFont val="Arial"/>
        <family val="0"/>
        <charset val="1"/>
      </rPr>
      <t xml:space="preserve">Fintech AI Engineer </t>
    </r>
    <r>
      <rPr>
        <i val="true"/>
        <sz val="10"/>
        <color rgb="FF595959"/>
        <rFont val="DejaVu Sans"/>
        <family val="2"/>
      </rPr>
      <t xml:space="preserve">工 </t>
    </r>
    <r>
      <rPr>
        <i val="true"/>
        <sz val="10"/>
        <color rgb="FF595959"/>
        <rFont val="Arial"/>
        <family val="0"/>
        <charset val="1"/>
      </rPr>
      <t xml:space="preserve">· </t>
    </r>
    <r>
      <rPr>
        <i val="true"/>
        <sz val="10"/>
        <color rgb="FF595959"/>
        <rFont val="DejaVu Sans"/>
        <family val="2"/>
      </rPr>
      <t xml:space="preserve">每日 </t>
    </r>
    <r>
      <rPr>
        <i val="true"/>
        <sz val="10"/>
        <color rgb="FF595959"/>
        <rFont val="Arial"/>
        <family val="0"/>
        <charset val="1"/>
      </rPr>
      <t xml:space="preserve">6 </t>
    </r>
    <r>
      <rPr>
        <i val="true"/>
        <sz val="10"/>
        <color rgb="FF595959"/>
        <rFont val="DejaVu Sans"/>
        <family val="2"/>
      </rPr>
      <t xml:space="preserve">小時</t>
    </r>
  </si>
  <si>
    <r>
      <rPr>
        <b val="true"/>
        <sz val="11"/>
        <color rgb="FF1F4E78"/>
        <rFont val="Arial"/>
        <family val="0"/>
        <charset val="1"/>
      </rPr>
      <t xml:space="preserve">Goal Settings </t>
    </r>
    <r>
      <rPr>
        <b val="true"/>
        <sz val="11"/>
        <color rgb="FF1F4E78"/>
        <rFont val="DejaVu Sans"/>
        <family val="2"/>
      </rPr>
      <t xml:space="preserve">目標設定</t>
    </r>
  </si>
  <si>
    <r>
      <rPr>
        <b val="true"/>
        <sz val="11"/>
        <color rgb="FF1F4E78"/>
        <rFont val="Arial"/>
        <family val="0"/>
        <charset val="1"/>
      </rPr>
      <t xml:space="preserve">Key Stats </t>
    </r>
    <r>
      <rPr>
        <b val="true"/>
        <sz val="11"/>
        <color rgb="FF1F4E78"/>
        <rFont val="DejaVu Sans"/>
        <family val="2"/>
      </rPr>
      <t xml:space="preserve">關鍵數字</t>
    </r>
  </si>
  <si>
    <r>
      <rPr>
        <b val="true"/>
        <sz val="11"/>
        <color rgb="FF000000"/>
        <rFont val="Arial"/>
        <family val="0"/>
        <charset val="1"/>
      </rPr>
      <t xml:space="preserve">Start date </t>
    </r>
    <r>
      <rPr>
        <b val="true"/>
        <sz val="11"/>
        <color rgb="FF000000"/>
        <rFont val="DejaVu Sans"/>
        <family val="2"/>
      </rPr>
      <t xml:space="preserve">開始日期</t>
    </r>
  </si>
  <si>
    <r>
      <rPr>
        <b val="true"/>
        <sz val="11"/>
        <color rgb="FF000000"/>
        <rFont val="Arial"/>
        <family val="0"/>
        <charset val="1"/>
      </rPr>
      <t xml:space="preserve">Days logged </t>
    </r>
    <r>
      <rPr>
        <b val="true"/>
        <sz val="11"/>
        <color rgb="FF000000"/>
        <rFont val="DejaVu Sans"/>
        <family val="2"/>
      </rPr>
      <t xml:space="preserve">已記錄日數</t>
    </r>
  </si>
  <si>
    <r>
      <rPr>
        <b val="true"/>
        <sz val="11"/>
        <color rgb="FF000000"/>
        <rFont val="Arial"/>
        <family val="0"/>
        <charset val="1"/>
      </rPr>
      <t xml:space="preserve">Target job date </t>
    </r>
    <r>
      <rPr>
        <b val="true"/>
        <sz val="11"/>
        <color rgb="FF000000"/>
        <rFont val="DejaVu Sans"/>
        <family val="2"/>
      </rPr>
      <t xml:space="preserve">目標日期</t>
    </r>
  </si>
  <si>
    <r>
      <rPr>
        <b val="true"/>
        <sz val="11"/>
        <color rgb="FF000000"/>
        <rFont val="Arial"/>
        <family val="0"/>
        <charset val="1"/>
      </rPr>
      <t xml:space="preserve">Total hours </t>
    </r>
    <r>
      <rPr>
        <b val="true"/>
        <sz val="11"/>
        <color rgb="FF000000"/>
        <rFont val="DejaVu Sans"/>
        <family val="2"/>
      </rPr>
      <t xml:space="preserve">總時數</t>
    </r>
  </si>
  <si>
    <r>
      <rPr>
        <b val="true"/>
        <sz val="11"/>
        <color rgb="FF000000"/>
        <rFont val="Arial"/>
        <family val="0"/>
        <charset val="1"/>
      </rPr>
      <t xml:space="preserve">Daily target (hrs) </t>
    </r>
    <r>
      <rPr>
        <b val="true"/>
        <sz val="11"/>
        <color rgb="FF000000"/>
        <rFont val="DejaVu Sans"/>
        <family val="2"/>
      </rPr>
      <t xml:space="preserve">每日目標</t>
    </r>
  </si>
  <si>
    <r>
      <rPr>
        <b val="true"/>
        <sz val="11"/>
        <color rgb="FF000000"/>
        <rFont val="Arial"/>
        <family val="0"/>
        <charset val="1"/>
      </rPr>
      <t xml:space="preserve">Average hrs/day </t>
    </r>
    <r>
      <rPr>
        <b val="true"/>
        <sz val="11"/>
        <color rgb="FF000000"/>
        <rFont val="DejaVu Sans"/>
        <family val="2"/>
      </rPr>
      <t xml:space="preserve">平均</t>
    </r>
  </si>
  <si>
    <r>
      <rPr>
        <b val="true"/>
        <sz val="11"/>
        <color rgb="FF000000"/>
        <rFont val="Arial"/>
        <family val="0"/>
        <charset val="1"/>
      </rPr>
      <t xml:space="preserve">Today </t>
    </r>
    <r>
      <rPr>
        <b val="true"/>
        <sz val="11"/>
        <color rgb="FF000000"/>
        <rFont val="DejaVu Sans"/>
        <family val="2"/>
      </rPr>
      <t xml:space="preserve">今日</t>
    </r>
  </si>
  <si>
    <r>
      <rPr>
        <b val="true"/>
        <sz val="11"/>
        <color rgb="FF000000"/>
        <rFont val="Arial"/>
        <family val="0"/>
        <charset val="1"/>
      </rPr>
      <t xml:space="preserve">Days elapsed </t>
    </r>
    <r>
      <rPr>
        <b val="true"/>
        <sz val="11"/>
        <color rgb="FF000000"/>
        <rFont val="DejaVu Sans"/>
        <family val="2"/>
      </rPr>
      <t xml:space="preserve">已過日數</t>
    </r>
  </si>
  <si>
    <r>
      <rPr>
        <b val="true"/>
        <sz val="11"/>
        <color rgb="FF000000"/>
        <rFont val="Arial"/>
        <family val="0"/>
        <charset val="1"/>
      </rPr>
      <t xml:space="preserve">Days to goal </t>
    </r>
    <r>
      <rPr>
        <b val="true"/>
        <sz val="11"/>
        <color rgb="FF000000"/>
        <rFont val="DejaVu Sans"/>
        <family val="2"/>
      </rPr>
      <t xml:space="preserve">距離目標</t>
    </r>
  </si>
  <si>
    <r>
      <rPr>
        <b val="true"/>
        <sz val="11"/>
        <color rgb="FF000000"/>
        <rFont val="Arial"/>
        <family val="0"/>
        <charset val="1"/>
      </rPr>
      <t xml:space="preserve">Expected hrs to date </t>
    </r>
    <r>
      <rPr>
        <b val="true"/>
        <sz val="11"/>
        <color rgb="FF000000"/>
        <rFont val="DejaVu Sans"/>
        <family val="2"/>
      </rPr>
      <t xml:space="preserve">應有時數</t>
    </r>
  </si>
  <si>
    <r>
      <rPr>
        <b val="true"/>
        <sz val="11"/>
        <color rgb="FF000000"/>
        <rFont val="Arial"/>
        <family val="0"/>
        <charset val="1"/>
      </rPr>
      <t xml:space="preserve">Hours ahead/behind </t>
    </r>
    <r>
      <rPr>
        <b val="true"/>
        <sz val="11"/>
        <color rgb="FF000000"/>
        <rFont val="DejaVu Sans"/>
        <family val="2"/>
      </rPr>
      <t xml:space="preserve">進度差</t>
    </r>
  </si>
  <si>
    <r>
      <rPr>
        <b val="true"/>
        <sz val="11"/>
        <color rgb="FF000000"/>
        <rFont val="Arial"/>
        <family val="0"/>
        <charset val="1"/>
      </rPr>
      <t xml:space="preserve">% of plan </t>
    </r>
    <r>
      <rPr>
        <b val="true"/>
        <sz val="11"/>
        <color rgb="FF000000"/>
        <rFont val="DejaVu Sans"/>
        <family val="2"/>
      </rPr>
      <t xml:space="preserve">完成度</t>
    </r>
  </si>
  <si>
    <r>
      <rPr>
        <b val="true"/>
        <sz val="11"/>
        <color rgb="FF000000"/>
        <rFont val="Arial"/>
        <family val="0"/>
        <charset val="1"/>
      </rPr>
      <t xml:space="preserve">Projected total by goal </t>
    </r>
    <r>
      <rPr>
        <b val="true"/>
        <sz val="11"/>
        <color rgb="FF000000"/>
        <rFont val="DejaVu Sans"/>
        <family val="2"/>
      </rPr>
      <t xml:space="preserve">預計總時數</t>
    </r>
  </si>
  <si>
    <r>
      <rPr>
        <b val="true"/>
        <sz val="11"/>
        <color rgb="FF1F4E78"/>
        <rFont val="Arial"/>
        <family val="0"/>
        <charset val="1"/>
      </rPr>
      <t xml:space="preserve">Topic Breakdown </t>
    </r>
    <r>
      <rPr>
        <b val="true"/>
        <sz val="11"/>
        <color rgb="FF1F4E78"/>
        <rFont val="DejaVu Sans"/>
        <family val="2"/>
      </rPr>
      <t xml:space="preserve">主題分配</t>
    </r>
  </si>
  <si>
    <t xml:space="preserve">% of total</t>
  </si>
  <si>
    <t xml:space="preserve">Pandas / NumPy</t>
  </si>
  <si>
    <t xml:space="preserve">Machine Learning</t>
  </si>
  <si>
    <t xml:space="preserve">Deep Learning</t>
  </si>
  <si>
    <r>
      <rPr>
        <sz val="11"/>
        <color rgb="FF000000"/>
        <rFont val="Arial"/>
        <family val="0"/>
        <charset val="1"/>
      </rPr>
      <t xml:space="preserve">Finance / </t>
    </r>
    <r>
      <rPr>
        <sz val="11"/>
        <color rgb="FF000000"/>
        <rFont val="DejaVu Sans"/>
        <family val="2"/>
      </rPr>
      <t xml:space="preserve">金融知識</t>
    </r>
  </si>
  <si>
    <r>
      <rPr>
        <sz val="11"/>
        <color rgb="FF000000"/>
        <rFont val="Arial"/>
        <family val="0"/>
        <charset val="1"/>
      </rPr>
      <t xml:space="preserve">Fintech APIs / </t>
    </r>
    <r>
      <rPr>
        <sz val="11"/>
        <color rgb="FF000000"/>
        <rFont val="DejaVu Sans"/>
        <family val="2"/>
      </rPr>
      <t xml:space="preserve">數據</t>
    </r>
  </si>
  <si>
    <t xml:space="preserve">Project: FinSight AI</t>
  </si>
  <si>
    <r>
      <rPr>
        <sz val="11"/>
        <color rgb="FF000000"/>
        <rFont val="DejaVu Sans"/>
        <family val="2"/>
      </rPr>
      <t xml:space="preserve">其他 </t>
    </r>
    <r>
      <rPr>
        <sz val="11"/>
        <color rgb="FF000000"/>
        <rFont val="Arial"/>
        <family val="0"/>
        <charset val="1"/>
      </rPr>
      <t xml:space="preserve">Other</t>
    </r>
  </si>
  <si>
    <r>
      <rPr>
        <b val="true"/>
        <sz val="11"/>
        <color rgb="FF000000"/>
        <rFont val="Arial"/>
        <family val="0"/>
        <charset val="1"/>
      </rPr>
      <t xml:space="preserve">Total </t>
    </r>
    <r>
      <rPr>
        <b val="true"/>
        <sz val="11"/>
        <color rgb="FF000000"/>
        <rFont val="DejaVu Sans"/>
        <family val="2"/>
      </rPr>
      <t xml:space="preserve">合計</t>
    </r>
  </si>
  <si>
    <r>
      <rPr>
        <b val="true"/>
        <sz val="11"/>
        <color rgb="FF1F4E78"/>
        <rFont val="Arial"/>
        <family val="0"/>
        <charset val="1"/>
      </rPr>
      <t xml:space="preserve">Tips </t>
    </r>
    <r>
      <rPr>
        <b val="true"/>
        <sz val="11"/>
        <color rgb="FF1F4E78"/>
        <rFont val="DejaVu Sans"/>
        <family val="2"/>
      </rPr>
      <t xml:space="preserve">提示</t>
    </r>
  </si>
  <si>
    <r>
      <rPr>
        <i val="true"/>
        <sz val="10"/>
        <color rgb="FF375623"/>
        <rFont val="DejaVu Sans"/>
        <family val="2"/>
      </rPr>
      <t xml:space="preserve">• 每晚收工前花 </t>
    </r>
    <r>
      <rPr>
        <i val="true"/>
        <sz val="10"/>
        <color rgb="FF375623"/>
        <rFont val="Arial"/>
        <family val="0"/>
        <charset val="1"/>
      </rPr>
      <t xml:space="preserve">2 </t>
    </r>
    <r>
      <rPr>
        <i val="true"/>
        <sz val="10"/>
        <color rgb="FF375623"/>
        <rFont val="DejaVu Sans"/>
        <family val="2"/>
      </rPr>
      <t xml:space="preserve">分鐘填一行（日期 </t>
    </r>
    <r>
      <rPr>
        <i val="true"/>
        <sz val="10"/>
        <color rgb="FF375623"/>
        <rFont val="Arial"/>
        <family val="0"/>
        <charset val="1"/>
      </rPr>
      <t xml:space="preserve">/ </t>
    </r>
    <r>
      <rPr>
        <i val="true"/>
        <sz val="10"/>
        <color rgb="FF375623"/>
        <rFont val="DejaVu Sans"/>
        <family val="2"/>
      </rPr>
      <t xml:space="preserve">時數 </t>
    </r>
    <r>
      <rPr>
        <i val="true"/>
        <sz val="10"/>
        <color rgb="FF375623"/>
        <rFont val="Arial"/>
        <family val="0"/>
        <charset val="1"/>
      </rPr>
      <t xml:space="preserve">/ </t>
    </r>
    <r>
      <rPr>
        <i val="true"/>
        <sz val="10"/>
        <color rgb="FF375623"/>
        <rFont val="DejaVu Sans"/>
        <family val="2"/>
      </rPr>
      <t xml:space="preserve">主題 </t>
    </r>
    <r>
      <rPr>
        <i val="true"/>
        <sz val="10"/>
        <color rgb="FF375623"/>
        <rFont val="Arial"/>
        <family val="0"/>
        <charset val="1"/>
      </rPr>
      <t xml:space="preserve">/ </t>
    </r>
    <r>
      <rPr>
        <i val="true"/>
        <sz val="10"/>
        <color rgb="FF375623"/>
        <rFont val="DejaVu Sans"/>
        <family val="2"/>
      </rPr>
      <t xml:space="preserve">學咗咩）。  • </t>
    </r>
    <r>
      <rPr>
        <i val="true"/>
        <sz val="10"/>
        <color rgb="FF375623"/>
        <rFont val="Arial"/>
        <family val="0"/>
        <charset val="1"/>
      </rPr>
      <t xml:space="preserve">'Topic' </t>
    </r>
    <r>
      <rPr>
        <i val="true"/>
        <sz val="10"/>
        <color rgb="FF375623"/>
        <rFont val="DejaVu Sans"/>
        <family val="2"/>
      </rPr>
      <t xml:space="preserve">用返左邊 </t>
    </r>
    <r>
      <rPr>
        <i val="true"/>
        <sz val="10"/>
        <color rgb="FF375623"/>
        <rFont val="Arial"/>
        <family val="0"/>
        <charset val="1"/>
      </rPr>
      <t xml:space="preserve">list </t>
    </r>
    <r>
      <rPr>
        <i val="true"/>
        <sz val="10"/>
        <color rgb="FF375623"/>
        <rFont val="DejaVu Sans"/>
        <family val="2"/>
      </rPr>
      <t xml:space="preserve">嘅名，咁 </t>
    </r>
    <r>
      <rPr>
        <i val="true"/>
        <sz val="10"/>
        <color rgb="FF375623"/>
        <rFont val="Arial"/>
        <family val="0"/>
        <charset val="1"/>
      </rPr>
      <t xml:space="preserve">Topic Breakdown </t>
    </r>
    <r>
      <rPr>
        <i val="true"/>
        <sz val="10"/>
        <color rgb="FF375623"/>
        <rFont val="DejaVu Sans"/>
        <family val="2"/>
      </rPr>
      <t xml:space="preserve">先有數。  • 進度差 </t>
    </r>
    <r>
      <rPr>
        <i val="true"/>
        <sz val="10"/>
        <color rgb="FF375623"/>
        <rFont val="Arial"/>
        <family val="0"/>
        <charset val="1"/>
      </rPr>
      <t xml:space="preserve">&lt; 0 = </t>
    </r>
    <r>
      <rPr>
        <i val="true"/>
        <sz val="10"/>
        <color rgb="FF375623"/>
        <rFont val="DejaVu Sans"/>
        <family val="2"/>
      </rPr>
      <t xml:space="preserve">落後；</t>
    </r>
    <r>
      <rPr>
        <i val="true"/>
        <sz val="10"/>
        <color rgb="FF375623"/>
        <rFont val="Arial"/>
        <family val="0"/>
        <charset val="1"/>
      </rPr>
      <t xml:space="preserve">&gt; 0 = </t>
    </r>
    <r>
      <rPr>
        <i val="true"/>
        <sz val="10"/>
        <color rgb="FF375623"/>
        <rFont val="DejaVu Sans"/>
        <family val="2"/>
      </rPr>
      <t xml:space="preserve">提早。  • </t>
    </r>
    <r>
      <rPr>
        <i val="true"/>
        <sz val="10"/>
        <color rgb="FF375623"/>
        <rFont val="Arial"/>
        <family val="0"/>
        <charset val="1"/>
      </rPr>
      <t xml:space="preserve">B5/B6/B7 </t>
    </r>
    <r>
      <rPr>
        <i val="true"/>
        <sz val="10"/>
        <color rgb="FF375623"/>
        <rFont val="DejaVu Sans"/>
        <family val="2"/>
      </rPr>
      <t xml:space="preserve">三格可以改你自己嘅目標。</t>
    </r>
  </si>
  <si>
    <r>
      <rPr>
        <b val="true"/>
        <sz val="16"/>
        <color rgb="FF1F4E78"/>
        <rFont val="Arial"/>
        <family val="0"/>
        <charset val="1"/>
      </rPr>
      <t xml:space="preserve">Fintech AI Engineer — Skills Roadmap </t>
    </r>
    <r>
      <rPr>
        <b val="true"/>
        <sz val="16"/>
        <color rgb="FF1F4E78"/>
        <rFont val="DejaVu Sans"/>
        <family val="2"/>
      </rPr>
      <t xml:space="preserve">技能路線圖</t>
    </r>
  </si>
  <si>
    <r>
      <rPr>
        <i val="true"/>
        <sz val="10"/>
        <color rgb="FF595959"/>
        <rFont val="DejaVu Sans"/>
        <family val="2"/>
      </rPr>
      <t xml:space="preserve">勾選你已經掌握嘅 </t>
    </r>
    <r>
      <rPr>
        <i val="true"/>
        <sz val="10"/>
        <color rgb="FF595959"/>
        <rFont val="Arial"/>
        <family val="0"/>
        <charset val="1"/>
      </rPr>
      <t xml:space="preserve">(✓)</t>
    </r>
    <r>
      <rPr>
        <i val="true"/>
        <sz val="10"/>
        <color rgb="FF595959"/>
        <rFont val="DejaVu Sans"/>
        <family val="2"/>
      </rPr>
      <t xml:space="preserve">，未掌握嘅就係未來幾個月嘅學習目標。</t>
    </r>
  </si>
  <si>
    <r>
      <rPr>
        <b val="true"/>
        <sz val="11"/>
        <color rgb="FFFFFFFF"/>
        <rFont val="Arial"/>
        <family val="0"/>
        <charset val="1"/>
      </rPr>
      <t xml:space="preserve">Category </t>
    </r>
    <r>
      <rPr>
        <b val="true"/>
        <sz val="11"/>
        <color rgb="FFFFFFFF"/>
        <rFont val="DejaVu Sans"/>
        <family val="2"/>
      </rPr>
      <t xml:space="preserve">類別</t>
    </r>
  </si>
  <si>
    <r>
      <rPr>
        <b val="true"/>
        <sz val="11"/>
        <color rgb="FFFFFFFF"/>
        <rFont val="Arial"/>
        <family val="0"/>
        <charset val="1"/>
      </rPr>
      <t xml:space="preserve">Skill </t>
    </r>
    <r>
      <rPr>
        <b val="true"/>
        <sz val="11"/>
        <color rgb="FFFFFFFF"/>
        <rFont val="DejaVu Sans"/>
        <family val="2"/>
      </rPr>
      <t xml:space="preserve">技能</t>
    </r>
  </si>
  <si>
    <r>
      <rPr>
        <b val="true"/>
        <sz val="11"/>
        <color rgb="FFFFFFFF"/>
        <rFont val="Arial"/>
        <family val="0"/>
        <charset val="1"/>
      </rPr>
      <t xml:space="preserve">Why it matters </t>
    </r>
    <r>
      <rPr>
        <b val="true"/>
        <sz val="11"/>
        <color rgb="FFFFFFFF"/>
        <rFont val="DejaVu Sans"/>
        <family val="2"/>
      </rPr>
      <t xml:space="preserve">點解重要</t>
    </r>
  </si>
  <si>
    <r>
      <rPr>
        <b val="true"/>
        <sz val="11"/>
        <color rgb="FFFFFFFF"/>
        <rFont val="Arial"/>
        <family val="0"/>
        <charset val="1"/>
      </rPr>
      <t xml:space="preserve">Status </t>
    </r>
    <r>
      <rPr>
        <b val="true"/>
        <sz val="11"/>
        <color rgb="FFFFFFFF"/>
        <rFont val="DejaVu Sans"/>
        <family val="2"/>
      </rPr>
      <t xml:space="preserve">狀態</t>
    </r>
  </si>
  <si>
    <r>
      <rPr>
        <b val="true"/>
        <sz val="11"/>
        <color rgb="FFFFFFFF"/>
        <rFont val="Arial"/>
        <family val="0"/>
        <charset val="1"/>
      </rPr>
      <t xml:space="preserve">Target month </t>
    </r>
    <r>
      <rPr>
        <b val="true"/>
        <sz val="11"/>
        <color rgb="FFFFFFFF"/>
        <rFont val="DejaVu Sans"/>
        <family val="2"/>
      </rPr>
      <t xml:space="preserve">目標月份</t>
    </r>
  </si>
  <si>
    <t xml:space="preserve">Programming</t>
  </si>
  <si>
    <r>
      <rPr>
        <sz val="11"/>
        <color rgb="FF000000"/>
        <rFont val="Arial"/>
        <family val="0"/>
        <charset val="1"/>
      </rPr>
      <t xml:space="preserve">Python 3.13 </t>
    </r>
    <r>
      <rPr>
        <sz val="11"/>
        <color rgb="FF000000"/>
        <rFont val="DejaVu Sans"/>
        <family val="2"/>
      </rPr>
      <t xml:space="preserve">進階 </t>
    </r>
    <r>
      <rPr>
        <sz val="11"/>
        <color rgb="FF000000"/>
        <rFont val="Arial"/>
        <family val="0"/>
        <charset val="1"/>
      </rPr>
      <t xml:space="preserve">(typing, async, dataclasses)</t>
    </r>
  </si>
  <si>
    <r>
      <rPr>
        <sz val="11"/>
        <color rgb="FF000000"/>
        <rFont val="DejaVu Sans"/>
        <family val="2"/>
      </rPr>
      <t xml:space="preserve">所有 </t>
    </r>
    <r>
      <rPr>
        <sz val="11"/>
        <color rgb="FF000000"/>
        <rFont val="Arial"/>
        <family val="0"/>
        <charset val="1"/>
      </rPr>
      <t xml:space="preserve">AI / data work </t>
    </r>
    <r>
      <rPr>
        <sz val="11"/>
        <color rgb="FF000000"/>
        <rFont val="DejaVu Sans"/>
        <family val="2"/>
      </rPr>
      <t xml:space="preserve">都係 </t>
    </r>
    <r>
      <rPr>
        <sz val="11"/>
        <color rgb="FF000000"/>
        <rFont val="Arial"/>
        <family val="0"/>
        <charset val="1"/>
      </rPr>
      <t xml:space="preserve">Python</t>
    </r>
  </si>
  <si>
    <r>
      <rPr>
        <sz val="11"/>
        <color rgb="FF000000"/>
        <rFont val="Arial"/>
        <family val="0"/>
        <charset val="1"/>
      </rPr>
      <t xml:space="preserve">Learning </t>
    </r>
    <r>
      <rPr>
        <sz val="11"/>
        <color rgb="FF000000"/>
        <rFont val="DejaVu Sans"/>
        <family val="2"/>
      </rPr>
      <t xml:space="preserve">學緊</t>
    </r>
  </si>
  <si>
    <t xml:space="preserve">Month 1</t>
  </si>
  <si>
    <r>
      <rPr>
        <sz val="11"/>
        <color rgb="FF000000"/>
        <rFont val="Arial"/>
        <family val="0"/>
        <charset val="1"/>
      </rPr>
      <t xml:space="preserve">Git / GitHub </t>
    </r>
    <r>
      <rPr>
        <sz val="11"/>
        <color rgb="FF000000"/>
        <rFont val="DejaVu Sans"/>
        <family val="2"/>
      </rPr>
      <t xml:space="preserve">工作流程</t>
    </r>
  </si>
  <si>
    <r>
      <rPr>
        <sz val="11"/>
        <color rgb="FF000000"/>
        <rFont val="DejaVu Sans"/>
        <family val="2"/>
      </rPr>
      <t xml:space="preserve">面試一定會睇你 </t>
    </r>
    <r>
      <rPr>
        <sz val="11"/>
        <color rgb="FF000000"/>
        <rFont val="Arial"/>
        <family val="0"/>
        <charset val="1"/>
      </rPr>
      <t xml:space="preserve">GitHub</t>
    </r>
  </si>
  <si>
    <t xml:space="preserve">Not started</t>
  </si>
  <si>
    <t xml:space="preserve">SQL (joins, window functions)</t>
  </si>
  <si>
    <r>
      <rPr>
        <sz val="11"/>
        <color rgb="FF000000"/>
        <rFont val="DejaVu Sans"/>
        <family val="2"/>
      </rPr>
      <t xml:space="preserve">金融數據基本上喺 </t>
    </r>
    <r>
      <rPr>
        <sz val="11"/>
        <color rgb="FF000000"/>
        <rFont val="Arial"/>
        <family val="0"/>
        <charset val="1"/>
      </rPr>
      <t xml:space="preserve">SQL DB</t>
    </r>
  </si>
  <si>
    <t xml:space="preserve">Month 2</t>
  </si>
  <si>
    <t xml:space="preserve">Data</t>
  </si>
  <si>
    <r>
      <rPr>
        <sz val="11"/>
        <color rgb="FF000000"/>
        <rFont val="Arial"/>
        <family val="0"/>
        <charset val="1"/>
      </rPr>
      <t xml:space="preserve">Pandas + NumPy </t>
    </r>
    <r>
      <rPr>
        <sz val="11"/>
        <color rgb="FF000000"/>
        <rFont val="DejaVu Sans"/>
        <family val="2"/>
      </rPr>
      <t xml:space="preserve">熟練</t>
    </r>
  </si>
  <si>
    <r>
      <rPr>
        <sz val="11"/>
        <color rgb="FF000000"/>
        <rFont val="DejaVu Sans"/>
        <family val="2"/>
      </rPr>
      <t xml:space="preserve">處理 </t>
    </r>
    <r>
      <rPr>
        <sz val="11"/>
        <color rgb="FF000000"/>
        <rFont val="Arial"/>
        <family val="0"/>
        <charset val="1"/>
      </rPr>
      <t xml:space="preserve">financial time series </t>
    </r>
    <r>
      <rPr>
        <sz val="11"/>
        <color rgb="FF000000"/>
        <rFont val="DejaVu Sans"/>
        <family val="2"/>
      </rPr>
      <t xml:space="preserve">必需</t>
    </r>
  </si>
  <si>
    <t xml:space="preserve">Month 1-2</t>
  </si>
  <si>
    <t xml:space="preserve">Data cleaning + EDA</t>
  </si>
  <si>
    <r>
      <rPr>
        <sz val="11"/>
        <color rgb="FF000000"/>
        <rFont val="Arial"/>
        <family val="0"/>
        <charset val="1"/>
      </rPr>
      <t xml:space="preserve">real-world </t>
    </r>
    <r>
      <rPr>
        <sz val="11"/>
        <color rgb="FF000000"/>
        <rFont val="DejaVu Sans"/>
        <family val="2"/>
      </rPr>
      <t xml:space="preserve">金融數據好亂</t>
    </r>
  </si>
  <si>
    <t xml:space="preserve">ML</t>
  </si>
  <si>
    <t xml:space="preserve">Scikit-learn (classification, regression)</t>
  </si>
  <si>
    <r>
      <rPr>
        <sz val="11"/>
        <color rgb="FF000000"/>
        <rFont val="DejaVu Sans"/>
        <family val="2"/>
      </rPr>
      <t xml:space="preserve">信用評分、欺詐偵測 </t>
    </r>
    <r>
      <rPr>
        <sz val="11"/>
        <color rgb="FF000000"/>
        <rFont val="Arial"/>
        <family val="0"/>
        <charset val="1"/>
      </rPr>
      <t xml:space="preserve">baseline </t>
    </r>
    <r>
      <rPr>
        <sz val="11"/>
        <color rgb="FF000000"/>
        <rFont val="DejaVu Sans"/>
        <family val="2"/>
      </rPr>
      <t xml:space="preserve">模型</t>
    </r>
  </si>
  <si>
    <t xml:space="preserve">Month 2-3</t>
  </si>
  <si>
    <t xml:space="preserve">XGBoost / LightGBM</t>
  </si>
  <si>
    <r>
      <rPr>
        <sz val="11"/>
        <color rgb="FF000000"/>
        <rFont val="Arial"/>
        <family val="0"/>
        <charset val="1"/>
      </rPr>
      <t xml:space="preserve">Fintech tabular </t>
    </r>
    <r>
      <rPr>
        <sz val="11"/>
        <color rgb="FF000000"/>
        <rFont val="DejaVu Sans"/>
        <family val="2"/>
      </rPr>
      <t xml:space="preserve">數據王者</t>
    </r>
  </si>
  <si>
    <t xml:space="preserve">Month 3</t>
  </si>
  <si>
    <t xml:space="preserve">Time series (ARIMA, Prophet)</t>
  </si>
  <si>
    <r>
      <rPr>
        <sz val="11"/>
        <color rgb="FF000000"/>
        <rFont val="DejaVu Sans"/>
        <family val="2"/>
      </rPr>
      <t xml:space="preserve">股價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DejaVu Sans"/>
        <family val="2"/>
      </rPr>
      <t xml:space="preserve">收入預測</t>
    </r>
  </si>
  <si>
    <r>
      <rPr>
        <sz val="11"/>
        <color rgb="FF000000"/>
        <rFont val="Arial"/>
        <family val="0"/>
        <charset val="1"/>
      </rPr>
      <t xml:space="preserve">PyTorch </t>
    </r>
    <r>
      <rPr>
        <sz val="11"/>
        <color rgb="FF000000"/>
        <rFont val="DejaVu Sans"/>
        <family val="2"/>
      </rPr>
      <t xml:space="preserve">基礎</t>
    </r>
  </si>
  <si>
    <r>
      <rPr>
        <sz val="11"/>
        <color rgb="FF000000"/>
        <rFont val="DejaVu Sans"/>
        <family val="2"/>
      </rPr>
      <t xml:space="preserve">現代 </t>
    </r>
    <r>
      <rPr>
        <sz val="11"/>
        <color rgb="FF000000"/>
        <rFont val="Arial"/>
        <family val="0"/>
        <charset val="1"/>
      </rPr>
      <t xml:space="preserve">AI </t>
    </r>
    <r>
      <rPr>
        <sz val="11"/>
        <color rgb="FF000000"/>
        <rFont val="DejaVu Sans"/>
        <family val="2"/>
      </rPr>
      <t xml:space="preserve">標準框架</t>
    </r>
  </si>
  <si>
    <t xml:space="preserve">Month 4</t>
  </si>
  <si>
    <t xml:space="preserve">LLM / RAG basics</t>
  </si>
  <si>
    <r>
      <rPr>
        <sz val="11"/>
        <color rgb="FF000000"/>
        <rFont val="Arial"/>
        <family val="0"/>
        <charset val="1"/>
      </rPr>
      <t xml:space="preserve">AI Engineer </t>
    </r>
    <r>
      <rPr>
        <sz val="11"/>
        <color rgb="FF000000"/>
        <rFont val="DejaVu Sans"/>
        <family val="2"/>
      </rPr>
      <t xml:space="preserve">職位必問</t>
    </r>
  </si>
  <si>
    <t xml:space="preserve">Month 4-5</t>
  </si>
  <si>
    <t xml:space="preserve">Finance</t>
  </si>
  <si>
    <r>
      <rPr>
        <sz val="11"/>
        <color rgb="FF000000"/>
        <rFont val="DejaVu Sans"/>
        <family val="2"/>
      </rPr>
      <t xml:space="preserve">金融基礎 </t>
    </r>
    <r>
      <rPr>
        <sz val="11"/>
        <color rgb="FF000000"/>
        <rFont val="Arial"/>
        <family val="0"/>
        <charset val="1"/>
      </rPr>
      <t xml:space="preserve">(stocks, bonds, derivatives)</t>
    </r>
  </si>
  <si>
    <r>
      <rPr>
        <sz val="11"/>
        <color rgb="FF000000"/>
        <rFont val="DejaVu Sans"/>
        <family val="2"/>
      </rPr>
      <t xml:space="preserve">唔識 </t>
    </r>
    <r>
      <rPr>
        <sz val="11"/>
        <color rgb="FF000000"/>
        <rFont val="Arial"/>
        <family val="0"/>
        <charset val="1"/>
      </rPr>
      <t xml:space="preserve">domain </t>
    </r>
    <r>
      <rPr>
        <sz val="11"/>
        <color rgb="FF000000"/>
        <rFont val="DejaVu Sans"/>
        <family val="2"/>
      </rPr>
      <t xml:space="preserve">唔會請你</t>
    </r>
  </si>
  <si>
    <t xml:space="preserve">Risk metrics (VaR, Sharpe, drawdown)</t>
  </si>
  <si>
    <r>
      <rPr>
        <sz val="11"/>
        <color rgb="FF000000"/>
        <rFont val="Arial"/>
        <family val="0"/>
        <charset val="1"/>
      </rPr>
      <t xml:space="preserve">Quant / risk </t>
    </r>
    <r>
      <rPr>
        <sz val="11"/>
        <color rgb="FF000000"/>
        <rFont val="DejaVu Sans"/>
        <family val="2"/>
      </rPr>
      <t xml:space="preserve">面試必問</t>
    </r>
  </si>
  <si>
    <r>
      <rPr>
        <sz val="11"/>
        <color rgb="FF000000"/>
        <rFont val="Arial"/>
        <family val="0"/>
        <charset val="1"/>
      </rPr>
      <t xml:space="preserve">Market microstructure </t>
    </r>
    <r>
      <rPr>
        <sz val="11"/>
        <color rgb="FF000000"/>
        <rFont val="DejaVu Sans"/>
        <family val="2"/>
      </rPr>
      <t xml:space="preserve">基本</t>
    </r>
  </si>
  <si>
    <r>
      <rPr>
        <sz val="11"/>
        <color rgb="FF000000"/>
        <rFont val="DejaVu Sans"/>
        <family val="2"/>
      </rPr>
      <t xml:space="preserve">了解 </t>
    </r>
    <r>
      <rPr>
        <sz val="11"/>
        <color rgb="FF000000"/>
        <rFont val="Arial"/>
        <family val="0"/>
        <charset val="1"/>
      </rPr>
      <t xml:space="preserve">trading data </t>
    </r>
    <r>
      <rPr>
        <sz val="11"/>
        <color rgb="FF000000"/>
        <rFont val="DejaVu Sans"/>
        <family val="2"/>
      </rPr>
      <t xml:space="preserve">點嚟</t>
    </r>
  </si>
  <si>
    <t xml:space="preserve">Fintech APIs</t>
  </si>
  <si>
    <t xml:space="preserve">Yahoo Finance / Alpha Vantage / Polygon</t>
  </si>
  <si>
    <r>
      <rPr>
        <sz val="11"/>
        <color rgb="FF000000"/>
        <rFont val="Arial"/>
        <family val="0"/>
        <charset val="1"/>
      </rPr>
      <t xml:space="preserve">FinSight AI </t>
    </r>
    <r>
      <rPr>
        <sz val="11"/>
        <color rgb="FF000000"/>
        <rFont val="DejaVu Sans"/>
        <family val="2"/>
      </rPr>
      <t xml:space="preserve">數據來源</t>
    </r>
  </si>
  <si>
    <r>
      <rPr>
        <sz val="11"/>
        <color rgb="FF000000"/>
        <rFont val="Arial"/>
        <family val="0"/>
        <charset val="1"/>
      </rPr>
      <t xml:space="preserve">Stripe / Plaid </t>
    </r>
    <r>
      <rPr>
        <sz val="11"/>
        <color rgb="FF000000"/>
        <rFont val="DejaVu Sans"/>
        <family val="2"/>
      </rPr>
      <t xml:space="preserve">概念</t>
    </r>
  </si>
  <si>
    <r>
      <rPr>
        <sz val="11"/>
        <color rgb="FF000000"/>
        <rFont val="Arial"/>
        <family val="0"/>
        <charset val="1"/>
      </rPr>
      <t xml:space="preserve">Payments / banking </t>
    </r>
    <r>
      <rPr>
        <sz val="11"/>
        <color rgb="FF000000"/>
        <rFont val="DejaVu Sans"/>
        <family val="2"/>
      </rPr>
      <t xml:space="preserve">公司會問</t>
    </r>
  </si>
  <si>
    <t xml:space="preserve">Month 5</t>
  </si>
  <si>
    <t xml:space="preserve">Project</t>
  </si>
  <si>
    <r>
      <rPr>
        <sz val="11"/>
        <color rgb="FF000000"/>
        <rFont val="Arial"/>
        <family val="0"/>
        <charset val="1"/>
      </rPr>
      <t xml:space="preserve">FinSight AI MVP (</t>
    </r>
    <r>
      <rPr>
        <sz val="11"/>
        <color rgb="FF000000"/>
        <rFont val="DejaVu Sans"/>
        <family val="2"/>
      </rPr>
      <t xml:space="preserve">數據 → 模型 → </t>
    </r>
    <r>
      <rPr>
        <sz val="11"/>
        <color rgb="FF000000"/>
        <rFont val="Arial"/>
        <family val="0"/>
        <charset val="1"/>
      </rPr>
      <t xml:space="preserve">dashboard)</t>
    </r>
  </si>
  <si>
    <r>
      <rPr>
        <sz val="11"/>
        <color rgb="FF000000"/>
        <rFont val="DejaVu Sans"/>
        <family val="2"/>
      </rPr>
      <t xml:space="preserve">你嘅 </t>
    </r>
    <r>
      <rPr>
        <sz val="11"/>
        <color rgb="FF000000"/>
        <rFont val="Arial"/>
        <family val="0"/>
        <charset val="1"/>
      </rPr>
      <t xml:space="preserve">portfolio </t>
    </r>
    <r>
      <rPr>
        <sz val="11"/>
        <color rgb="FF000000"/>
        <rFont val="DejaVu Sans"/>
        <family val="2"/>
      </rPr>
      <t xml:space="preserve">主打</t>
    </r>
  </si>
  <si>
    <t xml:space="preserve">In progress</t>
  </si>
  <si>
    <t xml:space="preserve">Month 2-4</t>
  </si>
  <si>
    <r>
      <rPr>
        <sz val="11"/>
        <color rgb="FF000000"/>
        <rFont val="Arial"/>
        <family val="0"/>
        <charset val="1"/>
      </rPr>
      <t xml:space="preserve">FinSight AI </t>
    </r>
    <r>
      <rPr>
        <sz val="11"/>
        <color rgb="FF000000"/>
        <rFont val="DejaVu Sans"/>
        <family val="2"/>
      </rPr>
      <t xml:space="preserve">部署上線 </t>
    </r>
    <r>
      <rPr>
        <sz val="11"/>
        <color rgb="FF000000"/>
        <rFont val="Arial"/>
        <family val="0"/>
        <charset val="1"/>
      </rPr>
      <t xml:space="preserve">(FastAPI + Streamlit)</t>
    </r>
  </si>
  <si>
    <r>
      <rPr>
        <sz val="11"/>
        <color rgb="FF000000"/>
        <rFont val="Arial"/>
        <family val="0"/>
        <charset val="1"/>
      </rPr>
      <t xml:space="preserve">demo </t>
    </r>
    <r>
      <rPr>
        <sz val="11"/>
        <color rgb="FF000000"/>
        <rFont val="DejaVu Sans"/>
        <family val="2"/>
      </rPr>
      <t xml:space="preserve">畀 </t>
    </r>
    <r>
      <rPr>
        <sz val="11"/>
        <color rgb="FF000000"/>
        <rFont val="Arial"/>
        <family val="0"/>
        <charset val="1"/>
      </rPr>
      <t xml:space="preserve">HR </t>
    </r>
    <r>
      <rPr>
        <sz val="11"/>
        <color rgb="FF000000"/>
        <rFont val="DejaVu Sans"/>
        <family val="2"/>
      </rPr>
      <t xml:space="preserve">睇</t>
    </r>
  </si>
  <si>
    <t xml:space="preserve">Soft</t>
  </si>
  <si>
    <r>
      <rPr>
        <sz val="11"/>
        <color rgb="FF000000"/>
        <rFont val="DejaVu Sans"/>
        <family val="2"/>
      </rPr>
      <t xml:space="preserve">技術 </t>
    </r>
    <r>
      <rPr>
        <sz val="11"/>
        <color rgb="FF000000"/>
        <rFont val="Arial"/>
        <family val="0"/>
        <charset val="1"/>
      </rPr>
      <t xml:space="preserve">blog </t>
    </r>
    <r>
      <rPr>
        <sz val="11"/>
        <color rgb="FF000000"/>
        <rFont val="DejaVu Sans"/>
        <family val="2"/>
      </rPr>
      <t xml:space="preserve">寫 </t>
    </r>
    <r>
      <rPr>
        <sz val="11"/>
        <color rgb="FF000000"/>
        <rFont val="Arial"/>
        <family val="0"/>
        <charset val="1"/>
      </rPr>
      <t xml:space="preserve">5 </t>
    </r>
    <r>
      <rPr>
        <sz val="11"/>
        <color rgb="FF000000"/>
        <rFont val="DejaVu Sans"/>
        <family val="2"/>
      </rPr>
      <t xml:space="preserve">篇學習筆記</t>
    </r>
  </si>
  <si>
    <t xml:space="preserve">證明你識溝通</t>
  </si>
  <si>
    <t xml:space="preserve">Month 2-6</t>
  </si>
  <si>
    <r>
      <rPr>
        <sz val="11"/>
        <color rgb="FF000000"/>
        <rFont val="Arial"/>
        <family val="0"/>
        <charset val="1"/>
      </rPr>
      <t xml:space="preserve">LeetCode easy/medium 50 </t>
    </r>
    <r>
      <rPr>
        <sz val="11"/>
        <color rgb="FF000000"/>
        <rFont val="DejaVu Sans"/>
        <family val="2"/>
      </rPr>
      <t xml:space="preserve">題</t>
    </r>
  </si>
  <si>
    <r>
      <rPr>
        <sz val="11"/>
        <color rgb="FF000000"/>
        <rFont val="DejaVu Sans"/>
        <family val="2"/>
      </rPr>
      <t xml:space="preserve">面試 </t>
    </r>
    <r>
      <rPr>
        <sz val="11"/>
        <color rgb="FF000000"/>
        <rFont val="Arial"/>
        <family val="0"/>
        <charset val="1"/>
      </rPr>
      <t xml:space="preserve">coding round</t>
    </r>
  </si>
  <si>
    <t xml:space="preserve">Month 3-6</t>
  </si>
  <si>
    <t xml:space="preserve">Career</t>
  </si>
  <si>
    <r>
      <rPr>
        <sz val="11"/>
        <color rgb="FF000000"/>
        <rFont val="DejaVu Sans"/>
        <family val="2"/>
      </rPr>
      <t xml:space="preserve">更新 </t>
    </r>
    <r>
      <rPr>
        <sz val="11"/>
        <color rgb="FF000000"/>
        <rFont val="Arial"/>
        <family val="0"/>
        <charset val="1"/>
      </rPr>
      <t xml:space="preserve">CV + LinkedIn</t>
    </r>
  </si>
  <si>
    <t xml:space="preserve">搵工準備</t>
  </si>
  <si>
    <t xml:space="preserve">Mock interview x 5</t>
  </si>
  <si>
    <t xml:space="preserve">練到唔驚先去真嘅</t>
  </si>
  <si>
    <t xml:space="preserve">Month 5-6</t>
  </si>
  <si>
    <r>
      <rPr>
        <sz val="11"/>
        <color rgb="FF000000"/>
        <rFont val="DejaVu Sans"/>
        <family val="2"/>
      </rPr>
      <t xml:space="preserve">投 </t>
    </r>
    <r>
      <rPr>
        <sz val="11"/>
        <color rgb="FF000000"/>
        <rFont val="Arial"/>
        <family val="0"/>
        <charset val="1"/>
      </rPr>
      <t xml:space="preserve">30 </t>
    </r>
    <r>
      <rPr>
        <sz val="11"/>
        <color rgb="FF000000"/>
        <rFont val="DejaVu Sans"/>
        <family val="2"/>
      </rPr>
      <t xml:space="preserve">份 </t>
    </r>
    <r>
      <rPr>
        <sz val="11"/>
        <color rgb="FF000000"/>
        <rFont val="Arial"/>
        <family val="0"/>
        <charset val="1"/>
      </rPr>
      <t xml:space="preserve">application</t>
    </r>
  </si>
  <si>
    <r>
      <rPr>
        <sz val="11"/>
        <color rgb="FF000000"/>
        <rFont val="DejaVu Sans"/>
        <family val="2"/>
      </rPr>
      <t xml:space="preserve">目標：</t>
    </r>
    <r>
      <rPr>
        <sz val="11"/>
        <color rgb="FF000000"/>
        <rFont val="Arial"/>
        <family val="0"/>
        <charset val="1"/>
      </rPr>
      <t xml:space="preserve">first job 6 </t>
    </r>
    <r>
      <rPr>
        <sz val="11"/>
        <color rgb="FF000000"/>
        <rFont val="DejaVu Sans"/>
        <family val="2"/>
      </rPr>
      <t xml:space="preserve">月後</t>
    </r>
  </si>
  <si>
    <t xml:space="preserve">Month 6</t>
  </si>
  <si>
    <r>
      <rPr>
        <b val="true"/>
        <sz val="11"/>
        <color rgb="FF1F4E78"/>
        <rFont val="Arial"/>
        <family val="0"/>
        <charset val="1"/>
      </rPr>
      <t xml:space="preserve">Summary </t>
    </r>
    <r>
      <rPr>
        <b val="true"/>
        <sz val="11"/>
        <color rgb="FF1F4E78"/>
        <rFont val="DejaVu Sans"/>
        <family val="2"/>
      </rPr>
      <t xml:space="preserve">統計</t>
    </r>
  </si>
  <si>
    <r>
      <rPr>
        <b val="true"/>
        <sz val="11"/>
        <color rgb="FF000000"/>
        <rFont val="Arial"/>
        <family val="0"/>
        <charset val="1"/>
      </rPr>
      <t xml:space="preserve">Total skills </t>
    </r>
    <r>
      <rPr>
        <b val="true"/>
        <sz val="11"/>
        <color rgb="FF000000"/>
        <rFont val="DejaVu Sans"/>
        <family val="2"/>
      </rPr>
      <t xml:space="preserve">總技能</t>
    </r>
  </si>
  <si>
    <r>
      <rPr>
        <b val="true"/>
        <sz val="11"/>
        <color rgb="FF000000"/>
        <rFont val="Arial"/>
        <family val="0"/>
        <charset val="1"/>
      </rPr>
      <t xml:space="preserve">Done ✓ </t>
    </r>
    <r>
      <rPr>
        <b val="true"/>
        <sz val="11"/>
        <color rgb="FF000000"/>
        <rFont val="DejaVu Sans"/>
        <family val="2"/>
      </rPr>
      <t xml:space="preserve">完成</t>
    </r>
  </si>
  <si>
    <r>
      <rPr>
        <b val="true"/>
        <sz val="11"/>
        <color rgb="FF000000"/>
        <rFont val="Arial"/>
        <family val="0"/>
        <charset val="1"/>
      </rPr>
      <t xml:space="preserve">In progress </t>
    </r>
    <r>
      <rPr>
        <b val="true"/>
        <sz val="11"/>
        <color rgb="FF000000"/>
        <rFont val="DejaVu Sans"/>
        <family val="2"/>
      </rPr>
      <t xml:space="preserve">進行中</t>
    </r>
  </si>
  <si>
    <r>
      <rPr>
        <b val="true"/>
        <sz val="11"/>
        <color rgb="FF000000"/>
        <rFont val="Arial"/>
        <family val="0"/>
        <charset val="1"/>
      </rPr>
      <t xml:space="preserve">% complete </t>
    </r>
    <r>
      <rPr>
        <b val="true"/>
        <sz val="11"/>
        <color rgb="FF000000"/>
        <rFont val="DejaVu Sans"/>
        <family val="2"/>
      </rPr>
      <t xml:space="preserve">完成度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</si>
</sst>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"/>
    <numFmt numFmtId="167" formatCode="0.00"/>
    <numFmt numFmtId="168" formatCode="0.0;[RED]\-0.0;\-"/>
    <numFmt numFmtId="169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8"/>
      <color rgb="FF1F4E78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DejaVu Sans"/>
      <family val="2"/>
    </font>
    <font>
      <sz val="11"/>
      <color rgb="FF000000"/>
      <name val="DejaVu Sans"/>
      <family val="2"/>
    </font>
    <font>
      <sz val="11"/>
      <color rgb="FF00000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6"/>
      <color rgb="FF1F4E78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1F4E78"/>
      <name val="DejaVu Sans"/>
      <family val="2"/>
    </font>
    <font>
      <b val="true"/>
      <sz val="11"/>
      <color rgb="FFC00000"/>
      <name val="Arial"/>
      <family val="0"/>
      <charset val="1"/>
    </font>
    <font>
      <i val="true"/>
      <sz val="10"/>
      <color rgb="FF375623"/>
      <name val="DejaVu Sans"/>
      <family val="2"/>
    </font>
    <font>
      <i val="true"/>
      <sz val="10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385723"/>
      <name val="Arial"/>
      <family val="0"/>
      <charset val="1"/>
    </font>
    <font>
      <b val="true"/>
      <sz val="11"/>
      <color rgb="FFBF8F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DE7"/>
        <bgColor rgb="FFF9F9F9"/>
      </patternFill>
    </fill>
    <fill>
      <patternFill patternType="solid">
        <fgColor rgb="FFFFF2CC"/>
        <bgColor rgb="FFFFFDE7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DE7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2C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85723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Hours by Topic 主題時數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Hours 時數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Dashboard!$A$17:$A$24</c:f>
              <c:strCache>
                <c:ptCount val="8"/>
                <c:pt idx="0">
                  <c:v>Python 基礎</c:v>
                </c:pt>
                <c:pt idx="1">
                  <c:v>Pandas / NumPy</c:v>
                </c:pt>
                <c:pt idx="2">
                  <c:v>Machine Learning</c:v>
                </c:pt>
                <c:pt idx="3">
                  <c:v>Deep Learning</c:v>
                </c:pt>
                <c:pt idx="4">
                  <c:v>Finance / 金融知識</c:v>
                </c:pt>
                <c:pt idx="5">
                  <c:v>Fintech APIs / 數據</c:v>
                </c:pt>
                <c:pt idx="6">
                  <c:v>Project: FinSight AI</c:v>
                </c:pt>
                <c:pt idx="7">
                  <c:v>其他 Other</c:v>
                </c:pt>
              </c:strCache>
            </c:strRef>
          </c:cat>
          <c:val>
            <c:numRef>
              <c:f>Dashboard!$B$17:$B$24</c:f>
              <c:numCache>
                <c:formatCode>0.0</c:formatCode>
                <c:ptCount val="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53362894"/>
        <c:axId val="14823925"/>
      </c:barChart>
      <c:catAx>
        <c:axId val="5336289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823925"/>
        <c:crosses val="autoZero"/>
        <c:auto val="1"/>
        <c:lblAlgn val="ctr"/>
        <c:lblOffset val="100"/>
        <c:noMultiLvlLbl val="0"/>
      </c:catAx>
      <c:valAx>
        <c:axId val="14823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3628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Study Hours 累計學習時數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Log'!J3</c:f>
              <c:strCache>
                <c:ptCount val="1"/>
                <c:pt idx="0">
                  <c:v>Cumulative hrs 累計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Log'!$A$4:$A$103</c:f>
              <c:strCache>
                <c:ptCount val="100"/>
                <c:pt idx="0">
                  <c:v>2026-04-24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'Daily Log'!$J$4:$J$103</c:f>
              <c:numCache>
                <c:formatCode>0.0</c:formatCode>
                <c:ptCount val="100"/>
                <c:pt idx="0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72056"/>
        <c:axId val="14050009"/>
      </c:lineChart>
      <c:catAx>
        <c:axId val="25572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50009"/>
        <c:crosses val="autoZero"/>
        <c:auto val="1"/>
        <c:lblAlgn val="ctr"/>
        <c:lblOffset val="100"/>
        <c:noMultiLvlLbl val="0"/>
      </c:catAx>
      <c:valAx>
        <c:axId val="14050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572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256320</xdr:colOff>
      <xdr:row>18</xdr:row>
      <xdr:rowOff>42840</xdr:rowOff>
    </xdr:to>
    <xdr:graphicFrame>
      <xdr:nvGraphicFramePr>
        <xdr:cNvPr id="1" name="Chart 1"/>
        <xdr:cNvGraphicFramePr/>
      </xdr:nvGraphicFramePr>
      <xdr:xfrm>
        <a:off x="7189560" y="70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15</xdr:col>
      <xdr:colOff>256320</xdr:colOff>
      <xdr:row>35</xdr:row>
      <xdr:rowOff>1080</xdr:rowOff>
    </xdr:to>
    <xdr:graphicFrame>
      <xdr:nvGraphicFramePr>
        <xdr:cNvPr id="2" name="Chart 2"/>
        <xdr:cNvGraphicFramePr/>
      </xdr:nvGraphicFramePr>
      <xdr:xfrm>
        <a:off x="7189560" y="4471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31.5" hidden="false" customHeight="true" outlineLevel="0" collapsed="false">
      <c r="A1" s="1" t="s">
        <v>0</v>
      </c>
      <c r="B1" s="1"/>
    </row>
    <row r="3" customFormat="false" ht="27.75" hidden="false" customHeight="true" outlineLevel="0" collapsed="false">
      <c r="A3" s="2" t="s">
        <v>1</v>
      </c>
      <c r="B3" s="2" t="s">
        <v>2</v>
      </c>
    </row>
    <row r="4" customFormat="false" ht="60" hidden="false" customHeight="true" outlineLevel="0" collapsed="false">
      <c r="A4" s="3" t="s">
        <v>3</v>
      </c>
      <c r="B4" s="4" t="s">
        <v>4</v>
      </c>
    </row>
    <row r="5" customFormat="false" ht="60" hidden="false" customHeight="true" outlineLevel="0" collapsed="false">
      <c r="A5" s="3" t="s">
        <v>5</v>
      </c>
      <c r="B5" s="4" t="s">
        <v>6</v>
      </c>
    </row>
    <row r="6" customFormat="false" ht="60" hidden="false" customHeight="true" outlineLevel="0" collapsed="false">
      <c r="A6" s="3" t="s">
        <v>7</v>
      </c>
      <c r="B6" s="5" t="s">
        <v>8</v>
      </c>
    </row>
    <row r="7" customFormat="false" ht="60" hidden="false" customHeight="true" outlineLevel="0" collapsed="false">
      <c r="A7" s="6" t="s">
        <v>9</v>
      </c>
      <c r="B7" s="4" t="s">
        <v>10</v>
      </c>
    </row>
    <row r="8" customFormat="false" ht="60" hidden="false" customHeight="true" outlineLevel="0" collapsed="false">
      <c r="A8" s="6" t="s">
        <v>11</v>
      </c>
      <c r="B8" s="4" t="s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7" t="s">
        <v>13</v>
      </c>
      <c r="B1" s="7"/>
      <c r="C1" s="7"/>
      <c r="D1" s="7"/>
      <c r="E1" s="7"/>
      <c r="F1" s="7"/>
      <c r="G1" s="7"/>
      <c r="H1" s="7"/>
      <c r="I1" s="7"/>
    </row>
    <row r="2" customFormat="false" ht="21.75" hidden="false" customHeight="true" outlineLevel="0" collapsed="false">
      <c r="A2" s="8" t="s">
        <v>14</v>
      </c>
      <c r="B2" s="8"/>
      <c r="C2" s="8"/>
      <c r="D2" s="8"/>
      <c r="E2" s="8"/>
      <c r="F2" s="8"/>
      <c r="G2" s="8"/>
      <c r="H2" s="8"/>
      <c r="I2" s="8"/>
    </row>
    <row r="3" customFormat="false" ht="31.5" hidden="false" customHeight="true" outlineLevel="0" collapsed="false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</row>
    <row r="4" customFormat="false" ht="37.5" hidden="false" customHeight="true" outlineLevel="0" collapsed="false">
      <c r="A4" s="10" t="n">
        <v>46136</v>
      </c>
      <c r="B4" s="11" t="n">
        <f aca="false">IF(A4="","",A4-$A$4+1)</f>
        <v>1</v>
      </c>
      <c r="C4" s="12" t="n">
        <v>6</v>
      </c>
      <c r="D4" s="13" t="s">
        <v>25</v>
      </c>
      <c r="E4" s="13" t="s">
        <v>26</v>
      </c>
      <c r="F4" s="14" t="s">
        <v>27</v>
      </c>
      <c r="G4" s="15" t="n">
        <v>4</v>
      </c>
      <c r="H4" s="15" t="n">
        <v>4</v>
      </c>
      <c r="I4" s="14" t="s">
        <v>28</v>
      </c>
      <c r="J4" s="16" t="n">
        <f aca="false">IF(A4="","",SUM(C$4:C4))</f>
        <v>6</v>
      </c>
    </row>
    <row r="5" customFormat="false" ht="21.75" hidden="false" customHeight="true" outlineLevel="0" collapsed="false">
      <c r="A5" s="10"/>
      <c r="B5" s="11" t="str">
        <f aca="false">IF(A5="","",A5-$A$4+1)</f>
        <v/>
      </c>
      <c r="C5" s="12"/>
      <c r="D5" s="14"/>
      <c r="E5" s="14"/>
      <c r="F5" s="14"/>
      <c r="G5" s="15"/>
      <c r="H5" s="15"/>
      <c r="I5" s="14"/>
      <c r="J5" s="16" t="str">
        <f aca="false">IF(A5="","",SUM(C$4:C5))</f>
        <v/>
      </c>
    </row>
    <row r="6" customFormat="false" ht="21.75" hidden="false" customHeight="true" outlineLevel="0" collapsed="false">
      <c r="A6" s="10"/>
      <c r="B6" s="11" t="str">
        <f aca="false">IF(A6="","",A6-$A$4+1)</f>
        <v/>
      </c>
      <c r="C6" s="12"/>
      <c r="D6" s="14"/>
      <c r="E6" s="14"/>
      <c r="F6" s="14"/>
      <c r="G6" s="15"/>
      <c r="H6" s="15"/>
      <c r="I6" s="14"/>
      <c r="J6" s="16" t="str">
        <f aca="false">IF(A6="","",SUM(C$4:C6))</f>
        <v/>
      </c>
    </row>
    <row r="7" customFormat="false" ht="21.75" hidden="false" customHeight="true" outlineLevel="0" collapsed="false">
      <c r="A7" s="10"/>
      <c r="B7" s="11" t="str">
        <f aca="false">IF(A7="","",A7-$A$4+1)</f>
        <v/>
      </c>
      <c r="C7" s="12"/>
      <c r="D7" s="14"/>
      <c r="E7" s="14"/>
      <c r="F7" s="14"/>
      <c r="G7" s="15"/>
      <c r="H7" s="15"/>
      <c r="I7" s="14"/>
      <c r="J7" s="16" t="str">
        <f aca="false">IF(A7="","",SUM(C$4:C7))</f>
        <v/>
      </c>
    </row>
    <row r="8" customFormat="false" ht="21.75" hidden="false" customHeight="true" outlineLevel="0" collapsed="false">
      <c r="A8" s="10"/>
      <c r="B8" s="11" t="str">
        <f aca="false">IF(A8="","",A8-$A$4+1)</f>
        <v/>
      </c>
      <c r="C8" s="12"/>
      <c r="D8" s="14"/>
      <c r="E8" s="14"/>
      <c r="F8" s="14"/>
      <c r="G8" s="15"/>
      <c r="H8" s="15"/>
      <c r="I8" s="14"/>
      <c r="J8" s="16" t="str">
        <f aca="false">IF(A8="","",SUM(C$4:C8))</f>
        <v/>
      </c>
    </row>
    <row r="9" customFormat="false" ht="21.75" hidden="false" customHeight="true" outlineLevel="0" collapsed="false">
      <c r="A9" s="10"/>
      <c r="B9" s="11" t="str">
        <f aca="false">IF(A9="","",A9-$A$4+1)</f>
        <v/>
      </c>
      <c r="C9" s="12"/>
      <c r="D9" s="14"/>
      <c r="E9" s="14"/>
      <c r="F9" s="14"/>
      <c r="G9" s="15"/>
      <c r="H9" s="15"/>
      <c r="I9" s="14"/>
      <c r="J9" s="16" t="str">
        <f aca="false">IF(A9="","",SUM(C$4:C9))</f>
        <v/>
      </c>
    </row>
    <row r="10" customFormat="false" ht="21.75" hidden="false" customHeight="true" outlineLevel="0" collapsed="false">
      <c r="A10" s="10"/>
      <c r="B10" s="11" t="str">
        <f aca="false">IF(A10="","",A10-$A$4+1)</f>
        <v/>
      </c>
      <c r="C10" s="12"/>
      <c r="D10" s="14"/>
      <c r="E10" s="14"/>
      <c r="F10" s="14"/>
      <c r="G10" s="15"/>
      <c r="H10" s="15"/>
      <c r="I10" s="14"/>
      <c r="J10" s="16" t="str">
        <f aca="false">IF(A10="","",SUM(C$4:C10))</f>
        <v/>
      </c>
    </row>
    <row r="11" customFormat="false" ht="21.75" hidden="false" customHeight="true" outlineLevel="0" collapsed="false">
      <c r="A11" s="10"/>
      <c r="B11" s="11" t="str">
        <f aca="false">IF(A11="","",A11-$A$4+1)</f>
        <v/>
      </c>
      <c r="C11" s="12"/>
      <c r="D11" s="14"/>
      <c r="E11" s="14"/>
      <c r="F11" s="14"/>
      <c r="G11" s="15"/>
      <c r="H11" s="15"/>
      <c r="I11" s="14"/>
      <c r="J11" s="16" t="str">
        <f aca="false">IF(A11="","",SUM(C$4:C11))</f>
        <v/>
      </c>
    </row>
    <row r="12" customFormat="false" ht="21.75" hidden="false" customHeight="true" outlineLevel="0" collapsed="false">
      <c r="A12" s="10"/>
      <c r="B12" s="11" t="str">
        <f aca="false">IF(A12="","",A12-$A$4+1)</f>
        <v/>
      </c>
      <c r="C12" s="12"/>
      <c r="D12" s="14"/>
      <c r="E12" s="14"/>
      <c r="F12" s="14"/>
      <c r="G12" s="15"/>
      <c r="H12" s="15"/>
      <c r="I12" s="14"/>
      <c r="J12" s="16" t="str">
        <f aca="false">IF(A12="","",SUM(C$4:C12))</f>
        <v/>
      </c>
    </row>
    <row r="13" customFormat="false" ht="21.75" hidden="false" customHeight="true" outlineLevel="0" collapsed="false">
      <c r="A13" s="10"/>
      <c r="B13" s="11" t="str">
        <f aca="false">IF(A13="","",A13-$A$4+1)</f>
        <v/>
      </c>
      <c r="C13" s="12"/>
      <c r="D13" s="14"/>
      <c r="E13" s="14"/>
      <c r="F13" s="14"/>
      <c r="G13" s="15"/>
      <c r="H13" s="15"/>
      <c r="I13" s="14"/>
      <c r="J13" s="16" t="str">
        <f aca="false">IF(A13="","",SUM(C$4:C13))</f>
        <v/>
      </c>
    </row>
    <row r="14" customFormat="false" ht="21.75" hidden="false" customHeight="true" outlineLevel="0" collapsed="false">
      <c r="A14" s="10"/>
      <c r="B14" s="11" t="str">
        <f aca="false">IF(A14="","",A14-$A$4+1)</f>
        <v/>
      </c>
      <c r="C14" s="12"/>
      <c r="D14" s="14"/>
      <c r="E14" s="14"/>
      <c r="F14" s="14"/>
      <c r="G14" s="15"/>
      <c r="H14" s="15"/>
      <c r="I14" s="14"/>
      <c r="J14" s="16" t="str">
        <f aca="false">IF(A14="","",SUM(C$4:C14))</f>
        <v/>
      </c>
    </row>
    <row r="15" customFormat="false" ht="21.75" hidden="false" customHeight="true" outlineLevel="0" collapsed="false">
      <c r="A15" s="10"/>
      <c r="B15" s="11" t="str">
        <f aca="false">IF(A15="","",A15-$A$4+1)</f>
        <v/>
      </c>
      <c r="C15" s="12"/>
      <c r="D15" s="14"/>
      <c r="E15" s="14"/>
      <c r="F15" s="14"/>
      <c r="G15" s="15"/>
      <c r="H15" s="15"/>
      <c r="I15" s="14"/>
      <c r="J15" s="16" t="str">
        <f aca="false">IF(A15="","",SUM(C$4:C15))</f>
        <v/>
      </c>
    </row>
    <row r="16" customFormat="false" ht="21.75" hidden="false" customHeight="true" outlineLevel="0" collapsed="false">
      <c r="A16" s="10"/>
      <c r="B16" s="11" t="str">
        <f aca="false">IF(A16="","",A16-$A$4+1)</f>
        <v/>
      </c>
      <c r="C16" s="12"/>
      <c r="D16" s="14"/>
      <c r="E16" s="14"/>
      <c r="F16" s="14"/>
      <c r="G16" s="15"/>
      <c r="H16" s="15"/>
      <c r="I16" s="14"/>
      <c r="J16" s="16" t="str">
        <f aca="false">IF(A16="","",SUM(C$4:C16))</f>
        <v/>
      </c>
    </row>
    <row r="17" customFormat="false" ht="21.75" hidden="false" customHeight="true" outlineLevel="0" collapsed="false">
      <c r="A17" s="10"/>
      <c r="B17" s="11" t="str">
        <f aca="false">IF(A17="","",A17-$A$4+1)</f>
        <v/>
      </c>
      <c r="C17" s="12"/>
      <c r="D17" s="14"/>
      <c r="E17" s="14"/>
      <c r="F17" s="14"/>
      <c r="G17" s="15"/>
      <c r="H17" s="15"/>
      <c r="I17" s="14"/>
      <c r="J17" s="16" t="str">
        <f aca="false">IF(A17="","",SUM(C$4:C17))</f>
        <v/>
      </c>
    </row>
    <row r="18" customFormat="false" ht="21.75" hidden="false" customHeight="true" outlineLevel="0" collapsed="false">
      <c r="A18" s="10"/>
      <c r="B18" s="11" t="str">
        <f aca="false">IF(A18="","",A18-$A$4+1)</f>
        <v/>
      </c>
      <c r="C18" s="12"/>
      <c r="D18" s="14"/>
      <c r="E18" s="14"/>
      <c r="F18" s="14"/>
      <c r="G18" s="15"/>
      <c r="H18" s="15"/>
      <c r="I18" s="14"/>
      <c r="J18" s="16" t="str">
        <f aca="false">IF(A18="","",SUM(C$4:C18))</f>
        <v/>
      </c>
    </row>
    <row r="19" customFormat="false" ht="21.75" hidden="false" customHeight="true" outlineLevel="0" collapsed="false">
      <c r="A19" s="10"/>
      <c r="B19" s="11" t="str">
        <f aca="false">IF(A19="","",A19-$A$4+1)</f>
        <v/>
      </c>
      <c r="C19" s="12"/>
      <c r="D19" s="14"/>
      <c r="E19" s="14"/>
      <c r="F19" s="14"/>
      <c r="G19" s="15"/>
      <c r="H19" s="15"/>
      <c r="I19" s="14"/>
      <c r="J19" s="16" t="str">
        <f aca="false">IF(A19="","",SUM(C$4:C19))</f>
        <v/>
      </c>
    </row>
    <row r="20" customFormat="false" ht="21.75" hidden="false" customHeight="true" outlineLevel="0" collapsed="false">
      <c r="A20" s="10"/>
      <c r="B20" s="11" t="str">
        <f aca="false">IF(A20="","",A20-$A$4+1)</f>
        <v/>
      </c>
      <c r="C20" s="12"/>
      <c r="D20" s="14"/>
      <c r="E20" s="14"/>
      <c r="F20" s="14"/>
      <c r="G20" s="15"/>
      <c r="H20" s="15"/>
      <c r="I20" s="14"/>
      <c r="J20" s="16" t="str">
        <f aca="false">IF(A20="","",SUM(C$4:C20))</f>
        <v/>
      </c>
    </row>
    <row r="21" customFormat="false" ht="21.75" hidden="false" customHeight="true" outlineLevel="0" collapsed="false">
      <c r="A21" s="10"/>
      <c r="B21" s="11" t="str">
        <f aca="false">IF(A21="","",A21-$A$4+1)</f>
        <v/>
      </c>
      <c r="C21" s="12"/>
      <c r="D21" s="14"/>
      <c r="E21" s="14"/>
      <c r="F21" s="14"/>
      <c r="G21" s="15"/>
      <c r="H21" s="15"/>
      <c r="I21" s="14"/>
      <c r="J21" s="16" t="str">
        <f aca="false">IF(A21="","",SUM(C$4:C21))</f>
        <v/>
      </c>
    </row>
    <row r="22" customFormat="false" ht="21.75" hidden="false" customHeight="true" outlineLevel="0" collapsed="false">
      <c r="A22" s="10"/>
      <c r="B22" s="11" t="str">
        <f aca="false">IF(A22="","",A22-$A$4+1)</f>
        <v/>
      </c>
      <c r="C22" s="12"/>
      <c r="D22" s="14"/>
      <c r="E22" s="14"/>
      <c r="F22" s="14"/>
      <c r="G22" s="15"/>
      <c r="H22" s="15"/>
      <c r="I22" s="14"/>
      <c r="J22" s="16" t="str">
        <f aca="false">IF(A22="","",SUM(C$4:C22))</f>
        <v/>
      </c>
    </row>
    <row r="23" customFormat="false" ht="21.75" hidden="false" customHeight="true" outlineLevel="0" collapsed="false">
      <c r="A23" s="10"/>
      <c r="B23" s="11" t="str">
        <f aca="false">IF(A23="","",A23-$A$4+1)</f>
        <v/>
      </c>
      <c r="C23" s="12"/>
      <c r="D23" s="14"/>
      <c r="E23" s="14"/>
      <c r="F23" s="14"/>
      <c r="G23" s="15"/>
      <c r="H23" s="15"/>
      <c r="I23" s="14"/>
      <c r="J23" s="16" t="str">
        <f aca="false">IF(A23="","",SUM(C$4:C23))</f>
        <v/>
      </c>
    </row>
    <row r="24" customFormat="false" ht="21.75" hidden="false" customHeight="true" outlineLevel="0" collapsed="false">
      <c r="A24" s="10"/>
      <c r="B24" s="11" t="str">
        <f aca="false">IF(A24="","",A24-$A$4+1)</f>
        <v/>
      </c>
      <c r="C24" s="12"/>
      <c r="D24" s="14"/>
      <c r="E24" s="14"/>
      <c r="F24" s="14"/>
      <c r="G24" s="15"/>
      <c r="H24" s="15"/>
      <c r="I24" s="14"/>
      <c r="J24" s="16" t="str">
        <f aca="false">IF(A24="","",SUM(C$4:C24))</f>
        <v/>
      </c>
    </row>
    <row r="25" customFormat="false" ht="21.75" hidden="false" customHeight="true" outlineLevel="0" collapsed="false">
      <c r="A25" s="10"/>
      <c r="B25" s="11" t="str">
        <f aca="false">IF(A25="","",A25-$A$4+1)</f>
        <v/>
      </c>
      <c r="C25" s="12"/>
      <c r="D25" s="14"/>
      <c r="E25" s="14"/>
      <c r="F25" s="14"/>
      <c r="G25" s="15"/>
      <c r="H25" s="15"/>
      <c r="I25" s="14"/>
      <c r="J25" s="16" t="str">
        <f aca="false">IF(A25="","",SUM(C$4:C25))</f>
        <v/>
      </c>
    </row>
    <row r="26" customFormat="false" ht="21.75" hidden="false" customHeight="true" outlineLevel="0" collapsed="false">
      <c r="A26" s="10"/>
      <c r="B26" s="11" t="str">
        <f aca="false">IF(A26="","",A26-$A$4+1)</f>
        <v/>
      </c>
      <c r="C26" s="12"/>
      <c r="D26" s="14"/>
      <c r="E26" s="14"/>
      <c r="F26" s="14"/>
      <c r="G26" s="15"/>
      <c r="H26" s="15"/>
      <c r="I26" s="14"/>
      <c r="J26" s="16" t="str">
        <f aca="false">IF(A26="","",SUM(C$4:C26))</f>
        <v/>
      </c>
    </row>
    <row r="27" customFormat="false" ht="21.75" hidden="false" customHeight="true" outlineLevel="0" collapsed="false">
      <c r="A27" s="10"/>
      <c r="B27" s="11" t="str">
        <f aca="false">IF(A27="","",A27-$A$4+1)</f>
        <v/>
      </c>
      <c r="C27" s="12"/>
      <c r="D27" s="14"/>
      <c r="E27" s="14"/>
      <c r="F27" s="14"/>
      <c r="G27" s="15"/>
      <c r="H27" s="15"/>
      <c r="I27" s="14"/>
      <c r="J27" s="16" t="str">
        <f aca="false">IF(A27="","",SUM(C$4:C27))</f>
        <v/>
      </c>
    </row>
    <row r="28" customFormat="false" ht="21.75" hidden="false" customHeight="true" outlineLevel="0" collapsed="false">
      <c r="A28" s="10"/>
      <c r="B28" s="11" t="str">
        <f aca="false">IF(A28="","",A28-$A$4+1)</f>
        <v/>
      </c>
      <c r="C28" s="12"/>
      <c r="D28" s="14"/>
      <c r="E28" s="14"/>
      <c r="F28" s="14"/>
      <c r="G28" s="15"/>
      <c r="H28" s="15"/>
      <c r="I28" s="14"/>
      <c r="J28" s="16" t="str">
        <f aca="false">IF(A28="","",SUM(C$4:C28))</f>
        <v/>
      </c>
    </row>
    <row r="29" customFormat="false" ht="21.75" hidden="false" customHeight="true" outlineLevel="0" collapsed="false">
      <c r="A29" s="10"/>
      <c r="B29" s="11" t="str">
        <f aca="false">IF(A29="","",A29-$A$4+1)</f>
        <v/>
      </c>
      <c r="C29" s="12"/>
      <c r="D29" s="14"/>
      <c r="E29" s="14"/>
      <c r="F29" s="14"/>
      <c r="G29" s="15"/>
      <c r="H29" s="15"/>
      <c r="I29" s="14"/>
      <c r="J29" s="16" t="str">
        <f aca="false">IF(A29="","",SUM(C$4:C29))</f>
        <v/>
      </c>
    </row>
    <row r="30" customFormat="false" ht="21.75" hidden="false" customHeight="true" outlineLevel="0" collapsed="false">
      <c r="A30" s="10"/>
      <c r="B30" s="11" t="str">
        <f aca="false">IF(A30="","",A30-$A$4+1)</f>
        <v/>
      </c>
      <c r="C30" s="12"/>
      <c r="D30" s="14"/>
      <c r="E30" s="14"/>
      <c r="F30" s="14"/>
      <c r="G30" s="15"/>
      <c r="H30" s="15"/>
      <c r="I30" s="14"/>
      <c r="J30" s="16" t="str">
        <f aca="false">IF(A30="","",SUM(C$4:C30))</f>
        <v/>
      </c>
    </row>
    <row r="31" customFormat="false" ht="21.75" hidden="false" customHeight="true" outlineLevel="0" collapsed="false">
      <c r="A31" s="10"/>
      <c r="B31" s="11" t="str">
        <f aca="false">IF(A31="","",A31-$A$4+1)</f>
        <v/>
      </c>
      <c r="C31" s="12"/>
      <c r="D31" s="14"/>
      <c r="E31" s="14"/>
      <c r="F31" s="14"/>
      <c r="G31" s="15"/>
      <c r="H31" s="15"/>
      <c r="I31" s="14"/>
      <c r="J31" s="16" t="str">
        <f aca="false">IF(A31="","",SUM(C$4:C31))</f>
        <v/>
      </c>
    </row>
    <row r="32" customFormat="false" ht="21.75" hidden="false" customHeight="true" outlineLevel="0" collapsed="false">
      <c r="A32" s="10"/>
      <c r="B32" s="11" t="str">
        <f aca="false">IF(A32="","",A32-$A$4+1)</f>
        <v/>
      </c>
      <c r="C32" s="12"/>
      <c r="D32" s="14"/>
      <c r="E32" s="14"/>
      <c r="F32" s="14"/>
      <c r="G32" s="15"/>
      <c r="H32" s="15"/>
      <c r="I32" s="14"/>
      <c r="J32" s="16" t="str">
        <f aca="false">IF(A32="","",SUM(C$4:C32))</f>
        <v/>
      </c>
    </row>
    <row r="33" customFormat="false" ht="21.75" hidden="false" customHeight="true" outlineLevel="0" collapsed="false">
      <c r="A33" s="10"/>
      <c r="B33" s="11" t="str">
        <f aca="false">IF(A33="","",A33-$A$4+1)</f>
        <v/>
      </c>
      <c r="C33" s="12"/>
      <c r="D33" s="14"/>
      <c r="E33" s="14"/>
      <c r="F33" s="14"/>
      <c r="G33" s="15"/>
      <c r="H33" s="15"/>
      <c r="I33" s="14"/>
      <c r="J33" s="16" t="str">
        <f aca="false">IF(A33="","",SUM(C$4:C33))</f>
        <v/>
      </c>
    </row>
    <row r="34" customFormat="false" ht="21.75" hidden="false" customHeight="true" outlineLevel="0" collapsed="false">
      <c r="A34" s="10"/>
      <c r="B34" s="11" t="str">
        <f aca="false">IF(A34="","",A34-$A$4+1)</f>
        <v/>
      </c>
      <c r="C34" s="12"/>
      <c r="D34" s="14"/>
      <c r="E34" s="14"/>
      <c r="F34" s="14"/>
      <c r="G34" s="15"/>
      <c r="H34" s="15"/>
      <c r="I34" s="14"/>
      <c r="J34" s="16" t="str">
        <f aca="false">IF(A34="","",SUM(C$4:C34))</f>
        <v/>
      </c>
    </row>
    <row r="35" customFormat="false" ht="21.75" hidden="false" customHeight="true" outlineLevel="0" collapsed="false">
      <c r="A35" s="10"/>
      <c r="B35" s="11" t="str">
        <f aca="false">IF(A35="","",A35-$A$4+1)</f>
        <v/>
      </c>
      <c r="C35" s="12"/>
      <c r="D35" s="14"/>
      <c r="E35" s="14"/>
      <c r="F35" s="14"/>
      <c r="G35" s="15"/>
      <c r="H35" s="15"/>
      <c r="I35" s="14"/>
      <c r="J35" s="16" t="str">
        <f aca="false">IF(A35="","",SUM(C$4:C35))</f>
        <v/>
      </c>
    </row>
    <row r="36" customFormat="false" ht="21.75" hidden="false" customHeight="true" outlineLevel="0" collapsed="false">
      <c r="A36" s="10"/>
      <c r="B36" s="11" t="str">
        <f aca="false">IF(A36="","",A36-$A$4+1)</f>
        <v/>
      </c>
      <c r="C36" s="12"/>
      <c r="D36" s="14"/>
      <c r="E36" s="14"/>
      <c r="F36" s="14"/>
      <c r="G36" s="15"/>
      <c r="H36" s="15"/>
      <c r="I36" s="14"/>
      <c r="J36" s="16" t="str">
        <f aca="false">IF(A36="","",SUM(C$4:C36))</f>
        <v/>
      </c>
    </row>
    <row r="37" customFormat="false" ht="21.75" hidden="false" customHeight="true" outlineLevel="0" collapsed="false">
      <c r="A37" s="10"/>
      <c r="B37" s="11" t="str">
        <f aca="false">IF(A37="","",A37-$A$4+1)</f>
        <v/>
      </c>
      <c r="C37" s="12"/>
      <c r="D37" s="14"/>
      <c r="E37" s="14"/>
      <c r="F37" s="14"/>
      <c r="G37" s="15"/>
      <c r="H37" s="15"/>
      <c r="I37" s="14"/>
      <c r="J37" s="16" t="str">
        <f aca="false">IF(A37="","",SUM(C$4:C37))</f>
        <v/>
      </c>
    </row>
    <row r="38" customFormat="false" ht="21.75" hidden="false" customHeight="true" outlineLevel="0" collapsed="false">
      <c r="A38" s="10"/>
      <c r="B38" s="11" t="str">
        <f aca="false">IF(A38="","",A38-$A$4+1)</f>
        <v/>
      </c>
      <c r="C38" s="12"/>
      <c r="D38" s="14"/>
      <c r="E38" s="14"/>
      <c r="F38" s="14"/>
      <c r="G38" s="15"/>
      <c r="H38" s="15"/>
      <c r="I38" s="14"/>
      <c r="J38" s="16" t="str">
        <f aca="false">IF(A38="","",SUM(C$4:C38))</f>
        <v/>
      </c>
    </row>
    <row r="39" customFormat="false" ht="21.75" hidden="false" customHeight="true" outlineLevel="0" collapsed="false">
      <c r="A39" s="10"/>
      <c r="B39" s="11" t="str">
        <f aca="false">IF(A39="","",A39-$A$4+1)</f>
        <v/>
      </c>
      <c r="C39" s="12"/>
      <c r="D39" s="14"/>
      <c r="E39" s="14"/>
      <c r="F39" s="14"/>
      <c r="G39" s="15"/>
      <c r="H39" s="15"/>
      <c r="I39" s="14"/>
      <c r="J39" s="16" t="str">
        <f aca="false">IF(A39="","",SUM(C$4:C39))</f>
        <v/>
      </c>
    </row>
    <row r="40" customFormat="false" ht="21.75" hidden="false" customHeight="true" outlineLevel="0" collapsed="false">
      <c r="A40" s="10"/>
      <c r="B40" s="11" t="str">
        <f aca="false">IF(A40="","",A40-$A$4+1)</f>
        <v/>
      </c>
      <c r="C40" s="12"/>
      <c r="D40" s="14"/>
      <c r="E40" s="14"/>
      <c r="F40" s="14"/>
      <c r="G40" s="15"/>
      <c r="H40" s="15"/>
      <c r="I40" s="14"/>
      <c r="J40" s="16" t="str">
        <f aca="false">IF(A40="","",SUM(C$4:C40))</f>
        <v/>
      </c>
    </row>
    <row r="41" customFormat="false" ht="21.75" hidden="false" customHeight="true" outlineLevel="0" collapsed="false">
      <c r="A41" s="10"/>
      <c r="B41" s="11" t="str">
        <f aca="false">IF(A41="","",A41-$A$4+1)</f>
        <v/>
      </c>
      <c r="C41" s="12"/>
      <c r="D41" s="14"/>
      <c r="E41" s="14"/>
      <c r="F41" s="14"/>
      <c r="G41" s="15"/>
      <c r="H41" s="15"/>
      <c r="I41" s="14"/>
      <c r="J41" s="16" t="str">
        <f aca="false">IF(A41="","",SUM(C$4:C41))</f>
        <v/>
      </c>
    </row>
    <row r="42" customFormat="false" ht="21.75" hidden="false" customHeight="true" outlineLevel="0" collapsed="false">
      <c r="A42" s="10"/>
      <c r="B42" s="11" t="str">
        <f aca="false">IF(A42="","",A42-$A$4+1)</f>
        <v/>
      </c>
      <c r="C42" s="12"/>
      <c r="D42" s="14"/>
      <c r="E42" s="14"/>
      <c r="F42" s="14"/>
      <c r="G42" s="15"/>
      <c r="H42" s="15"/>
      <c r="I42" s="14"/>
      <c r="J42" s="16" t="str">
        <f aca="false">IF(A42="","",SUM(C$4:C42))</f>
        <v/>
      </c>
    </row>
    <row r="43" customFormat="false" ht="21.75" hidden="false" customHeight="true" outlineLevel="0" collapsed="false">
      <c r="A43" s="10"/>
      <c r="B43" s="11" t="str">
        <f aca="false">IF(A43="","",A43-$A$4+1)</f>
        <v/>
      </c>
      <c r="C43" s="12"/>
      <c r="D43" s="14"/>
      <c r="E43" s="14"/>
      <c r="F43" s="14"/>
      <c r="G43" s="15"/>
      <c r="H43" s="15"/>
      <c r="I43" s="14"/>
      <c r="J43" s="16" t="str">
        <f aca="false">IF(A43="","",SUM(C$4:C43))</f>
        <v/>
      </c>
    </row>
    <row r="44" customFormat="false" ht="21.75" hidden="false" customHeight="true" outlineLevel="0" collapsed="false">
      <c r="A44" s="10"/>
      <c r="B44" s="11" t="str">
        <f aca="false">IF(A44="","",A44-$A$4+1)</f>
        <v/>
      </c>
      <c r="C44" s="12"/>
      <c r="D44" s="14"/>
      <c r="E44" s="14"/>
      <c r="F44" s="14"/>
      <c r="G44" s="15"/>
      <c r="H44" s="15"/>
      <c r="I44" s="14"/>
      <c r="J44" s="16" t="str">
        <f aca="false">IF(A44="","",SUM(C$4:C44))</f>
        <v/>
      </c>
    </row>
    <row r="45" customFormat="false" ht="21.75" hidden="false" customHeight="true" outlineLevel="0" collapsed="false">
      <c r="A45" s="10"/>
      <c r="B45" s="11" t="str">
        <f aca="false">IF(A45="","",A45-$A$4+1)</f>
        <v/>
      </c>
      <c r="C45" s="12"/>
      <c r="D45" s="14"/>
      <c r="E45" s="14"/>
      <c r="F45" s="14"/>
      <c r="G45" s="15"/>
      <c r="H45" s="15"/>
      <c r="I45" s="14"/>
      <c r="J45" s="16" t="str">
        <f aca="false">IF(A45="","",SUM(C$4:C45))</f>
        <v/>
      </c>
    </row>
    <row r="46" customFormat="false" ht="21.75" hidden="false" customHeight="true" outlineLevel="0" collapsed="false">
      <c r="A46" s="10"/>
      <c r="B46" s="11" t="str">
        <f aca="false">IF(A46="","",A46-$A$4+1)</f>
        <v/>
      </c>
      <c r="C46" s="12"/>
      <c r="D46" s="14"/>
      <c r="E46" s="14"/>
      <c r="F46" s="14"/>
      <c r="G46" s="15"/>
      <c r="H46" s="15"/>
      <c r="I46" s="14"/>
      <c r="J46" s="16" t="str">
        <f aca="false">IF(A46="","",SUM(C$4:C46))</f>
        <v/>
      </c>
    </row>
    <row r="47" customFormat="false" ht="21.75" hidden="false" customHeight="true" outlineLevel="0" collapsed="false">
      <c r="A47" s="10"/>
      <c r="B47" s="11" t="str">
        <f aca="false">IF(A47="","",A47-$A$4+1)</f>
        <v/>
      </c>
      <c r="C47" s="12"/>
      <c r="D47" s="14"/>
      <c r="E47" s="14"/>
      <c r="F47" s="14"/>
      <c r="G47" s="15"/>
      <c r="H47" s="15"/>
      <c r="I47" s="14"/>
      <c r="J47" s="16" t="str">
        <f aca="false">IF(A47="","",SUM(C$4:C47))</f>
        <v/>
      </c>
    </row>
    <row r="48" customFormat="false" ht="21.75" hidden="false" customHeight="true" outlineLevel="0" collapsed="false">
      <c r="A48" s="10"/>
      <c r="B48" s="11" t="str">
        <f aca="false">IF(A48="","",A48-$A$4+1)</f>
        <v/>
      </c>
      <c r="C48" s="12"/>
      <c r="D48" s="14"/>
      <c r="E48" s="14"/>
      <c r="F48" s="14"/>
      <c r="G48" s="15"/>
      <c r="H48" s="15"/>
      <c r="I48" s="14"/>
      <c r="J48" s="16" t="str">
        <f aca="false">IF(A48="","",SUM(C$4:C48))</f>
        <v/>
      </c>
    </row>
    <row r="49" customFormat="false" ht="21.75" hidden="false" customHeight="true" outlineLevel="0" collapsed="false">
      <c r="A49" s="10"/>
      <c r="B49" s="11" t="str">
        <f aca="false">IF(A49="","",A49-$A$4+1)</f>
        <v/>
      </c>
      <c r="C49" s="12"/>
      <c r="D49" s="14"/>
      <c r="E49" s="14"/>
      <c r="F49" s="14"/>
      <c r="G49" s="15"/>
      <c r="H49" s="15"/>
      <c r="I49" s="14"/>
      <c r="J49" s="16" t="str">
        <f aca="false">IF(A49="","",SUM(C$4:C49))</f>
        <v/>
      </c>
    </row>
    <row r="50" customFormat="false" ht="21.75" hidden="false" customHeight="true" outlineLevel="0" collapsed="false">
      <c r="A50" s="10"/>
      <c r="B50" s="11" t="str">
        <f aca="false">IF(A50="","",A50-$A$4+1)</f>
        <v/>
      </c>
      <c r="C50" s="12"/>
      <c r="D50" s="14"/>
      <c r="E50" s="14"/>
      <c r="F50" s="14"/>
      <c r="G50" s="15"/>
      <c r="H50" s="15"/>
      <c r="I50" s="14"/>
      <c r="J50" s="16" t="str">
        <f aca="false">IF(A50="","",SUM(C$4:C50))</f>
        <v/>
      </c>
    </row>
    <row r="51" customFormat="false" ht="21.75" hidden="false" customHeight="true" outlineLevel="0" collapsed="false">
      <c r="A51" s="10"/>
      <c r="B51" s="11" t="str">
        <f aca="false">IF(A51="","",A51-$A$4+1)</f>
        <v/>
      </c>
      <c r="C51" s="12"/>
      <c r="D51" s="14"/>
      <c r="E51" s="14"/>
      <c r="F51" s="14"/>
      <c r="G51" s="15"/>
      <c r="H51" s="15"/>
      <c r="I51" s="14"/>
      <c r="J51" s="16" t="str">
        <f aca="false">IF(A51="","",SUM(C$4:C51))</f>
        <v/>
      </c>
    </row>
    <row r="52" customFormat="false" ht="21.75" hidden="false" customHeight="true" outlineLevel="0" collapsed="false">
      <c r="A52" s="10"/>
      <c r="B52" s="11" t="str">
        <f aca="false">IF(A52="","",A52-$A$4+1)</f>
        <v/>
      </c>
      <c r="C52" s="12"/>
      <c r="D52" s="14"/>
      <c r="E52" s="14"/>
      <c r="F52" s="14"/>
      <c r="G52" s="15"/>
      <c r="H52" s="15"/>
      <c r="I52" s="14"/>
      <c r="J52" s="16" t="str">
        <f aca="false">IF(A52="","",SUM(C$4:C52))</f>
        <v/>
      </c>
    </row>
    <row r="53" customFormat="false" ht="21.75" hidden="false" customHeight="true" outlineLevel="0" collapsed="false">
      <c r="A53" s="10"/>
      <c r="B53" s="11" t="str">
        <f aca="false">IF(A53="","",A53-$A$4+1)</f>
        <v/>
      </c>
      <c r="C53" s="12"/>
      <c r="D53" s="14"/>
      <c r="E53" s="14"/>
      <c r="F53" s="14"/>
      <c r="G53" s="15"/>
      <c r="H53" s="15"/>
      <c r="I53" s="14"/>
      <c r="J53" s="16" t="str">
        <f aca="false">IF(A53="","",SUM(C$4:C53))</f>
        <v/>
      </c>
    </row>
    <row r="54" customFormat="false" ht="21.75" hidden="false" customHeight="true" outlineLevel="0" collapsed="false">
      <c r="A54" s="10"/>
      <c r="B54" s="11" t="str">
        <f aca="false">IF(A54="","",A54-$A$4+1)</f>
        <v/>
      </c>
      <c r="C54" s="12"/>
      <c r="D54" s="14"/>
      <c r="E54" s="14"/>
      <c r="F54" s="14"/>
      <c r="G54" s="15"/>
      <c r="H54" s="15"/>
      <c r="I54" s="14"/>
      <c r="J54" s="16" t="str">
        <f aca="false">IF(A54="","",SUM(C$4:C54))</f>
        <v/>
      </c>
    </row>
    <row r="55" customFormat="false" ht="21.75" hidden="false" customHeight="true" outlineLevel="0" collapsed="false">
      <c r="A55" s="10"/>
      <c r="B55" s="11" t="str">
        <f aca="false">IF(A55="","",A55-$A$4+1)</f>
        <v/>
      </c>
      <c r="C55" s="12"/>
      <c r="D55" s="14"/>
      <c r="E55" s="14"/>
      <c r="F55" s="14"/>
      <c r="G55" s="15"/>
      <c r="H55" s="15"/>
      <c r="I55" s="14"/>
      <c r="J55" s="16" t="str">
        <f aca="false">IF(A55="","",SUM(C$4:C55))</f>
        <v/>
      </c>
    </row>
    <row r="56" customFormat="false" ht="21.75" hidden="false" customHeight="true" outlineLevel="0" collapsed="false">
      <c r="A56" s="10"/>
      <c r="B56" s="11" t="str">
        <f aca="false">IF(A56="","",A56-$A$4+1)</f>
        <v/>
      </c>
      <c r="C56" s="12"/>
      <c r="D56" s="14"/>
      <c r="E56" s="14"/>
      <c r="F56" s="14"/>
      <c r="G56" s="15"/>
      <c r="H56" s="15"/>
      <c r="I56" s="14"/>
      <c r="J56" s="16" t="str">
        <f aca="false">IF(A56="","",SUM(C$4:C56))</f>
        <v/>
      </c>
    </row>
    <row r="57" customFormat="false" ht="21.75" hidden="false" customHeight="true" outlineLevel="0" collapsed="false">
      <c r="A57" s="10"/>
      <c r="B57" s="11" t="str">
        <f aca="false">IF(A57="","",A57-$A$4+1)</f>
        <v/>
      </c>
      <c r="C57" s="12"/>
      <c r="D57" s="14"/>
      <c r="E57" s="14"/>
      <c r="F57" s="14"/>
      <c r="G57" s="15"/>
      <c r="H57" s="15"/>
      <c r="I57" s="14"/>
      <c r="J57" s="16" t="str">
        <f aca="false">IF(A57="","",SUM(C$4:C57))</f>
        <v/>
      </c>
    </row>
    <row r="58" customFormat="false" ht="21.75" hidden="false" customHeight="true" outlineLevel="0" collapsed="false">
      <c r="A58" s="10"/>
      <c r="B58" s="11" t="str">
        <f aca="false">IF(A58="","",A58-$A$4+1)</f>
        <v/>
      </c>
      <c r="C58" s="12"/>
      <c r="D58" s="14"/>
      <c r="E58" s="14"/>
      <c r="F58" s="14"/>
      <c r="G58" s="15"/>
      <c r="H58" s="15"/>
      <c r="I58" s="14"/>
      <c r="J58" s="16" t="str">
        <f aca="false">IF(A58="","",SUM(C$4:C58))</f>
        <v/>
      </c>
    </row>
    <row r="59" customFormat="false" ht="21.75" hidden="false" customHeight="true" outlineLevel="0" collapsed="false">
      <c r="A59" s="10"/>
      <c r="B59" s="11" t="str">
        <f aca="false">IF(A59="","",A59-$A$4+1)</f>
        <v/>
      </c>
      <c r="C59" s="12"/>
      <c r="D59" s="14"/>
      <c r="E59" s="14"/>
      <c r="F59" s="14"/>
      <c r="G59" s="15"/>
      <c r="H59" s="15"/>
      <c r="I59" s="14"/>
      <c r="J59" s="16" t="str">
        <f aca="false">IF(A59="","",SUM(C$4:C59))</f>
        <v/>
      </c>
    </row>
    <row r="60" customFormat="false" ht="21.75" hidden="false" customHeight="true" outlineLevel="0" collapsed="false">
      <c r="A60" s="10"/>
      <c r="B60" s="11" t="str">
        <f aca="false">IF(A60="","",A60-$A$4+1)</f>
        <v/>
      </c>
      <c r="C60" s="12"/>
      <c r="D60" s="14"/>
      <c r="E60" s="14"/>
      <c r="F60" s="14"/>
      <c r="G60" s="15"/>
      <c r="H60" s="15"/>
      <c r="I60" s="14"/>
      <c r="J60" s="16" t="str">
        <f aca="false">IF(A60="","",SUM(C$4:C60))</f>
        <v/>
      </c>
    </row>
    <row r="61" customFormat="false" ht="21.75" hidden="false" customHeight="true" outlineLevel="0" collapsed="false">
      <c r="A61" s="10"/>
      <c r="B61" s="11" t="str">
        <f aca="false">IF(A61="","",A61-$A$4+1)</f>
        <v/>
      </c>
      <c r="C61" s="12"/>
      <c r="D61" s="14"/>
      <c r="E61" s="14"/>
      <c r="F61" s="14"/>
      <c r="G61" s="15"/>
      <c r="H61" s="15"/>
      <c r="I61" s="14"/>
      <c r="J61" s="16" t="str">
        <f aca="false">IF(A61="","",SUM(C$4:C61))</f>
        <v/>
      </c>
    </row>
    <row r="62" customFormat="false" ht="21.75" hidden="false" customHeight="true" outlineLevel="0" collapsed="false">
      <c r="A62" s="10"/>
      <c r="B62" s="11" t="str">
        <f aca="false">IF(A62="","",A62-$A$4+1)</f>
        <v/>
      </c>
      <c r="C62" s="12"/>
      <c r="D62" s="14"/>
      <c r="E62" s="14"/>
      <c r="F62" s="14"/>
      <c r="G62" s="15"/>
      <c r="H62" s="15"/>
      <c r="I62" s="14"/>
      <c r="J62" s="16" t="str">
        <f aca="false">IF(A62="","",SUM(C$4:C62))</f>
        <v/>
      </c>
    </row>
    <row r="63" customFormat="false" ht="21.75" hidden="false" customHeight="true" outlineLevel="0" collapsed="false">
      <c r="A63" s="10"/>
      <c r="B63" s="11" t="str">
        <f aca="false">IF(A63="","",A63-$A$4+1)</f>
        <v/>
      </c>
      <c r="C63" s="12"/>
      <c r="D63" s="14"/>
      <c r="E63" s="14"/>
      <c r="F63" s="14"/>
      <c r="G63" s="15"/>
      <c r="H63" s="15"/>
      <c r="I63" s="14"/>
      <c r="J63" s="16" t="str">
        <f aca="false">IF(A63="","",SUM(C$4:C63))</f>
        <v/>
      </c>
    </row>
    <row r="64" customFormat="false" ht="21.75" hidden="false" customHeight="true" outlineLevel="0" collapsed="false">
      <c r="A64" s="10"/>
      <c r="B64" s="11" t="str">
        <f aca="false">IF(A64="","",A64-$A$4+1)</f>
        <v/>
      </c>
      <c r="C64" s="12"/>
      <c r="D64" s="14"/>
      <c r="E64" s="14"/>
      <c r="F64" s="14"/>
      <c r="G64" s="15"/>
      <c r="H64" s="15"/>
      <c r="I64" s="14"/>
      <c r="J64" s="16" t="str">
        <f aca="false">IF(A64="","",SUM(C$4:C64))</f>
        <v/>
      </c>
    </row>
    <row r="65" customFormat="false" ht="21.75" hidden="false" customHeight="true" outlineLevel="0" collapsed="false">
      <c r="A65" s="10"/>
      <c r="B65" s="11" t="str">
        <f aca="false">IF(A65="","",A65-$A$4+1)</f>
        <v/>
      </c>
      <c r="C65" s="12"/>
      <c r="D65" s="14"/>
      <c r="E65" s="14"/>
      <c r="F65" s="14"/>
      <c r="G65" s="15"/>
      <c r="H65" s="15"/>
      <c r="I65" s="14"/>
      <c r="J65" s="16" t="str">
        <f aca="false">IF(A65="","",SUM(C$4:C65))</f>
        <v/>
      </c>
    </row>
    <row r="66" customFormat="false" ht="21.75" hidden="false" customHeight="true" outlineLevel="0" collapsed="false">
      <c r="A66" s="10"/>
      <c r="B66" s="11" t="str">
        <f aca="false">IF(A66="","",A66-$A$4+1)</f>
        <v/>
      </c>
      <c r="C66" s="12"/>
      <c r="D66" s="14"/>
      <c r="E66" s="14"/>
      <c r="F66" s="14"/>
      <c r="G66" s="15"/>
      <c r="H66" s="15"/>
      <c r="I66" s="14"/>
      <c r="J66" s="16" t="str">
        <f aca="false">IF(A66="","",SUM(C$4:C66))</f>
        <v/>
      </c>
    </row>
    <row r="67" customFormat="false" ht="21.75" hidden="false" customHeight="true" outlineLevel="0" collapsed="false">
      <c r="A67" s="10"/>
      <c r="B67" s="11" t="str">
        <f aca="false">IF(A67="","",A67-$A$4+1)</f>
        <v/>
      </c>
      <c r="C67" s="12"/>
      <c r="D67" s="14"/>
      <c r="E67" s="14"/>
      <c r="F67" s="14"/>
      <c r="G67" s="15"/>
      <c r="H67" s="15"/>
      <c r="I67" s="14"/>
      <c r="J67" s="16" t="str">
        <f aca="false">IF(A67="","",SUM(C$4:C67))</f>
        <v/>
      </c>
    </row>
    <row r="68" customFormat="false" ht="21.75" hidden="false" customHeight="true" outlineLevel="0" collapsed="false">
      <c r="A68" s="10"/>
      <c r="B68" s="11" t="str">
        <f aca="false">IF(A68="","",A68-$A$4+1)</f>
        <v/>
      </c>
      <c r="C68" s="12"/>
      <c r="D68" s="14"/>
      <c r="E68" s="14"/>
      <c r="F68" s="14"/>
      <c r="G68" s="15"/>
      <c r="H68" s="15"/>
      <c r="I68" s="14"/>
      <c r="J68" s="16" t="str">
        <f aca="false">IF(A68="","",SUM(C$4:C68))</f>
        <v/>
      </c>
    </row>
    <row r="69" customFormat="false" ht="21.75" hidden="false" customHeight="true" outlineLevel="0" collapsed="false">
      <c r="A69" s="10"/>
      <c r="B69" s="11" t="str">
        <f aca="false">IF(A69="","",A69-$A$4+1)</f>
        <v/>
      </c>
      <c r="C69" s="12"/>
      <c r="D69" s="14"/>
      <c r="E69" s="14"/>
      <c r="F69" s="14"/>
      <c r="G69" s="15"/>
      <c r="H69" s="15"/>
      <c r="I69" s="14"/>
      <c r="J69" s="16" t="str">
        <f aca="false">IF(A69="","",SUM(C$4:C69))</f>
        <v/>
      </c>
    </row>
    <row r="70" customFormat="false" ht="21.75" hidden="false" customHeight="true" outlineLevel="0" collapsed="false">
      <c r="A70" s="10"/>
      <c r="B70" s="11" t="str">
        <f aca="false">IF(A70="","",A70-$A$4+1)</f>
        <v/>
      </c>
      <c r="C70" s="12"/>
      <c r="D70" s="14"/>
      <c r="E70" s="14"/>
      <c r="F70" s="14"/>
      <c r="G70" s="15"/>
      <c r="H70" s="15"/>
      <c r="I70" s="14"/>
      <c r="J70" s="16" t="str">
        <f aca="false">IF(A70="","",SUM(C$4:C70))</f>
        <v/>
      </c>
    </row>
    <row r="71" customFormat="false" ht="21.75" hidden="false" customHeight="true" outlineLevel="0" collapsed="false">
      <c r="A71" s="10"/>
      <c r="B71" s="11" t="str">
        <f aca="false">IF(A71="","",A71-$A$4+1)</f>
        <v/>
      </c>
      <c r="C71" s="12"/>
      <c r="D71" s="14"/>
      <c r="E71" s="14"/>
      <c r="F71" s="14"/>
      <c r="G71" s="15"/>
      <c r="H71" s="15"/>
      <c r="I71" s="14"/>
      <c r="J71" s="16" t="str">
        <f aca="false">IF(A71="","",SUM(C$4:C71))</f>
        <v/>
      </c>
    </row>
    <row r="72" customFormat="false" ht="21.75" hidden="false" customHeight="true" outlineLevel="0" collapsed="false">
      <c r="A72" s="10"/>
      <c r="B72" s="11" t="str">
        <f aca="false">IF(A72="","",A72-$A$4+1)</f>
        <v/>
      </c>
      <c r="C72" s="12"/>
      <c r="D72" s="14"/>
      <c r="E72" s="14"/>
      <c r="F72" s="14"/>
      <c r="G72" s="15"/>
      <c r="H72" s="15"/>
      <c r="I72" s="14"/>
      <c r="J72" s="16" t="str">
        <f aca="false">IF(A72="","",SUM(C$4:C72))</f>
        <v/>
      </c>
    </row>
    <row r="73" customFormat="false" ht="21.75" hidden="false" customHeight="true" outlineLevel="0" collapsed="false">
      <c r="A73" s="10"/>
      <c r="B73" s="11" t="str">
        <f aca="false">IF(A73="","",A73-$A$4+1)</f>
        <v/>
      </c>
      <c r="C73" s="12"/>
      <c r="D73" s="14"/>
      <c r="E73" s="14"/>
      <c r="F73" s="14"/>
      <c r="G73" s="15"/>
      <c r="H73" s="15"/>
      <c r="I73" s="14"/>
      <c r="J73" s="16" t="str">
        <f aca="false">IF(A73="","",SUM(C$4:C73))</f>
        <v/>
      </c>
    </row>
    <row r="74" customFormat="false" ht="21.75" hidden="false" customHeight="true" outlineLevel="0" collapsed="false">
      <c r="A74" s="10"/>
      <c r="B74" s="11" t="str">
        <f aca="false">IF(A74="","",A74-$A$4+1)</f>
        <v/>
      </c>
      <c r="C74" s="12"/>
      <c r="D74" s="14"/>
      <c r="E74" s="14"/>
      <c r="F74" s="14"/>
      <c r="G74" s="15"/>
      <c r="H74" s="15"/>
      <c r="I74" s="14"/>
      <c r="J74" s="16" t="str">
        <f aca="false">IF(A74="","",SUM(C$4:C74))</f>
        <v/>
      </c>
    </row>
    <row r="75" customFormat="false" ht="21.75" hidden="false" customHeight="true" outlineLevel="0" collapsed="false">
      <c r="A75" s="10"/>
      <c r="B75" s="11" t="str">
        <f aca="false">IF(A75="","",A75-$A$4+1)</f>
        <v/>
      </c>
      <c r="C75" s="12"/>
      <c r="D75" s="14"/>
      <c r="E75" s="14"/>
      <c r="F75" s="14"/>
      <c r="G75" s="15"/>
      <c r="H75" s="15"/>
      <c r="I75" s="14"/>
      <c r="J75" s="16" t="str">
        <f aca="false">IF(A75="","",SUM(C$4:C75))</f>
        <v/>
      </c>
    </row>
    <row r="76" customFormat="false" ht="21.75" hidden="false" customHeight="true" outlineLevel="0" collapsed="false">
      <c r="A76" s="10"/>
      <c r="B76" s="11" t="str">
        <f aca="false">IF(A76="","",A76-$A$4+1)</f>
        <v/>
      </c>
      <c r="C76" s="12"/>
      <c r="D76" s="14"/>
      <c r="E76" s="14"/>
      <c r="F76" s="14"/>
      <c r="G76" s="15"/>
      <c r="H76" s="15"/>
      <c r="I76" s="14"/>
      <c r="J76" s="16" t="str">
        <f aca="false">IF(A76="","",SUM(C$4:C76))</f>
        <v/>
      </c>
    </row>
    <row r="77" customFormat="false" ht="21.75" hidden="false" customHeight="true" outlineLevel="0" collapsed="false">
      <c r="A77" s="10"/>
      <c r="B77" s="11" t="str">
        <f aca="false">IF(A77="","",A77-$A$4+1)</f>
        <v/>
      </c>
      <c r="C77" s="12"/>
      <c r="D77" s="14"/>
      <c r="E77" s="14"/>
      <c r="F77" s="14"/>
      <c r="G77" s="15"/>
      <c r="H77" s="15"/>
      <c r="I77" s="14"/>
      <c r="J77" s="16" t="str">
        <f aca="false">IF(A77="","",SUM(C$4:C77))</f>
        <v/>
      </c>
    </row>
    <row r="78" customFormat="false" ht="21.75" hidden="false" customHeight="true" outlineLevel="0" collapsed="false">
      <c r="A78" s="10"/>
      <c r="B78" s="11" t="str">
        <f aca="false">IF(A78="","",A78-$A$4+1)</f>
        <v/>
      </c>
      <c r="C78" s="12"/>
      <c r="D78" s="14"/>
      <c r="E78" s="14"/>
      <c r="F78" s="14"/>
      <c r="G78" s="15"/>
      <c r="H78" s="15"/>
      <c r="I78" s="14"/>
      <c r="J78" s="16" t="str">
        <f aca="false">IF(A78="","",SUM(C$4:C78))</f>
        <v/>
      </c>
    </row>
    <row r="79" customFormat="false" ht="21.75" hidden="false" customHeight="true" outlineLevel="0" collapsed="false">
      <c r="A79" s="10"/>
      <c r="B79" s="11" t="str">
        <f aca="false">IF(A79="","",A79-$A$4+1)</f>
        <v/>
      </c>
      <c r="C79" s="12"/>
      <c r="D79" s="14"/>
      <c r="E79" s="14"/>
      <c r="F79" s="14"/>
      <c r="G79" s="15"/>
      <c r="H79" s="15"/>
      <c r="I79" s="14"/>
      <c r="J79" s="16" t="str">
        <f aca="false">IF(A79="","",SUM(C$4:C79))</f>
        <v/>
      </c>
    </row>
    <row r="80" customFormat="false" ht="21.75" hidden="false" customHeight="true" outlineLevel="0" collapsed="false">
      <c r="A80" s="10"/>
      <c r="B80" s="11" t="str">
        <f aca="false">IF(A80="","",A80-$A$4+1)</f>
        <v/>
      </c>
      <c r="C80" s="12"/>
      <c r="D80" s="14"/>
      <c r="E80" s="14"/>
      <c r="F80" s="14"/>
      <c r="G80" s="15"/>
      <c r="H80" s="15"/>
      <c r="I80" s="14"/>
      <c r="J80" s="16" t="str">
        <f aca="false">IF(A80="","",SUM(C$4:C80))</f>
        <v/>
      </c>
    </row>
    <row r="81" customFormat="false" ht="21.75" hidden="false" customHeight="true" outlineLevel="0" collapsed="false">
      <c r="A81" s="10"/>
      <c r="B81" s="11" t="str">
        <f aca="false">IF(A81="","",A81-$A$4+1)</f>
        <v/>
      </c>
      <c r="C81" s="12"/>
      <c r="D81" s="14"/>
      <c r="E81" s="14"/>
      <c r="F81" s="14"/>
      <c r="G81" s="15"/>
      <c r="H81" s="15"/>
      <c r="I81" s="14"/>
      <c r="J81" s="16" t="str">
        <f aca="false">IF(A81="","",SUM(C$4:C81))</f>
        <v/>
      </c>
    </row>
    <row r="82" customFormat="false" ht="21.75" hidden="false" customHeight="true" outlineLevel="0" collapsed="false">
      <c r="A82" s="10"/>
      <c r="B82" s="11" t="str">
        <f aca="false">IF(A82="","",A82-$A$4+1)</f>
        <v/>
      </c>
      <c r="C82" s="12"/>
      <c r="D82" s="14"/>
      <c r="E82" s="14"/>
      <c r="F82" s="14"/>
      <c r="G82" s="15"/>
      <c r="H82" s="15"/>
      <c r="I82" s="14"/>
      <c r="J82" s="16" t="str">
        <f aca="false">IF(A82="","",SUM(C$4:C82))</f>
        <v/>
      </c>
    </row>
    <row r="83" customFormat="false" ht="21.75" hidden="false" customHeight="true" outlineLevel="0" collapsed="false">
      <c r="A83" s="10"/>
      <c r="B83" s="11" t="str">
        <f aca="false">IF(A83="","",A83-$A$4+1)</f>
        <v/>
      </c>
      <c r="C83" s="12"/>
      <c r="D83" s="14"/>
      <c r="E83" s="14"/>
      <c r="F83" s="14"/>
      <c r="G83" s="15"/>
      <c r="H83" s="15"/>
      <c r="I83" s="14"/>
      <c r="J83" s="16" t="str">
        <f aca="false">IF(A83="","",SUM(C$4:C83))</f>
        <v/>
      </c>
    </row>
    <row r="84" customFormat="false" ht="21.75" hidden="false" customHeight="true" outlineLevel="0" collapsed="false">
      <c r="A84" s="10"/>
      <c r="B84" s="11" t="str">
        <f aca="false">IF(A84="","",A84-$A$4+1)</f>
        <v/>
      </c>
      <c r="C84" s="12"/>
      <c r="D84" s="14"/>
      <c r="E84" s="14"/>
      <c r="F84" s="14"/>
      <c r="G84" s="15"/>
      <c r="H84" s="15"/>
      <c r="I84" s="14"/>
      <c r="J84" s="16" t="str">
        <f aca="false">IF(A84="","",SUM(C$4:C84))</f>
        <v/>
      </c>
    </row>
    <row r="85" customFormat="false" ht="21.75" hidden="false" customHeight="true" outlineLevel="0" collapsed="false">
      <c r="A85" s="10"/>
      <c r="B85" s="11" t="str">
        <f aca="false">IF(A85="","",A85-$A$4+1)</f>
        <v/>
      </c>
      <c r="C85" s="12"/>
      <c r="D85" s="14"/>
      <c r="E85" s="14"/>
      <c r="F85" s="14"/>
      <c r="G85" s="15"/>
      <c r="H85" s="15"/>
      <c r="I85" s="14"/>
      <c r="J85" s="16" t="str">
        <f aca="false">IF(A85="","",SUM(C$4:C85))</f>
        <v/>
      </c>
    </row>
    <row r="86" customFormat="false" ht="21.75" hidden="false" customHeight="true" outlineLevel="0" collapsed="false">
      <c r="A86" s="10"/>
      <c r="B86" s="11" t="str">
        <f aca="false">IF(A86="","",A86-$A$4+1)</f>
        <v/>
      </c>
      <c r="C86" s="12"/>
      <c r="D86" s="14"/>
      <c r="E86" s="14"/>
      <c r="F86" s="14"/>
      <c r="G86" s="15"/>
      <c r="H86" s="15"/>
      <c r="I86" s="14"/>
      <c r="J86" s="16" t="str">
        <f aca="false">IF(A86="","",SUM(C$4:C86))</f>
        <v/>
      </c>
    </row>
    <row r="87" customFormat="false" ht="21.75" hidden="false" customHeight="true" outlineLevel="0" collapsed="false">
      <c r="A87" s="10"/>
      <c r="B87" s="11" t="str">
        <f aca="false">IF(A87="","",A87-$A$4+1)</f>
        <v/>
      </c>
      <c r="C87" s="12"/>
      <c r="D87" s="14"/>
      <c r="E87" s="14"/>
      <c r="F87" s="14"/>
      <c r="G87" s="15"/>
      <c r="H87" s="15"/>
      <c r="I87" s="14"/>
      <c r="J87" s="16" t="str">
        <f aca="false">IF(A87="","",SUM(C$4:C87))</f>
        <v/>
      </c>
    </row>
    <row r="88" customFormat="false" ht="21.75" hidden="false" customHeight="true" outlineLevel="0" collapsed="false">
      <c r="A88" s="10"/>
      <c r="B88" s="11" t="str">
        <f aca="false">IF(A88="","",A88-$A$4+1)</f>
        <v/>
      </c>
      <c r="C88" s="12"/>
      <c r="D88" s="14"/>
      <c r="E88" s="14"/>
      <c r="F88" s="14"/>
      <c r="G88" s="15"/>
      <c r="H88" s="15"/>
      <c r="I88" s="14"/>
      <c r="J88" s="16" t="str">
        <f aca="false">IF(A88="","",SUM(C$4:C88))</f>
        <v/>
      </c>
    </row>
    <row r="89" customFormat="false" ht="21.75" hidden="false" customHeight="true" outlineLevel="0" collapsed="false">
      <c r="A89" s="10"/>
      <c r="B89" s="11" t="str">
        <f aca="false">IF(A89="","",A89-$A$4+1)</f>
        <v/>
      </c>
      <c r="C89" s="12"/>
      <c r="D89" s="14"/>
      <c r="E89" s="14"/>
      <c r="F89" s="14"/>
      <c r="G89" s="15"/>
      <c r="H89" s="15"/>
      <c r="I89" s="14"/>
      <c r="J89" s="16" t="str">
        <f aca="false">IF(A89="","",SUM(C$4:C89))</f>
        <v/>
      </c>
    </row>
    <row r="90" customFormat="false" ht="21.75" hidden="false" customHeight="true" outlineLevel="0" collapsed="false">
      <c r="A90" s="10"/>
      <c r="B90" s="11" t="str">
        <f aca="false">IF(A90="","",A90-$A$4+1)</f>
        <v/>
      </c>
      <c r="C90" s="12"/>
      <c r="D90" s="14"/>
      <c r="E90" s="14"/>
      <c r="F90" s="14"/>
      <c r="G90" s="15"/>
      <c r="H90" s="15"/>
      <c r="I90" s="14"/>
      <c r="J90" s="16" t="str">
        <f aca="false">IF(A90="","",SUM(C$4:C90))</f>
        <v/>
      </c>
    </row>
    <row r="91" customFormat="false" ht="21.75" hidden="false" customHeight="true" outlineLevel="0" collapsed="false">
      <c r="A91" s="10"/>
      <c r="B91" s="11" t="str">
        <f aca="false">IF(A91="","",A91-$A$4+1)</f>
        <v/>
      </c>
      <c r="C91" s="12"/>
      <c r="D91" s="14"/>
      <c r="E91" s="14"/>
      <c r="F91" s="14"/>
      <c r="G91" s="15"/>
      <c r="H91" s="15"/>
      <c r="I91" s="14"/>
      <c r="J91" s="16" t="str">
        <f aca="false">IF(A91="","",SUM(C$4:C91))</f>
        <v/>
      </c>
    </row>
    <row r="92" customFormat="false" ht="21.75" hidden="false" customHeight="true" outlineLevel="0" collapsed="false">
      <c r="A92" s="10"/>
      <c r="B92" s="11" t="str">
        <f aca="false">IF(A92="","",A92-$A$4+1)</f>
        <v/>
      </c>
      <c r="C92" s="12"/>
      <c r="D92" s="14"/>
      <c r="E92" s="14"/>
      <c r="F92" s="14"/>
      <c r="G92" s="15"/>
      <c r="H92" s="15"/>
      <c r="I92" s="14"/>
      <c r="J92" s="16" t="str">
        <f aca="false">IF(A92="","",SUM(C$4:C92))</f>
        <v/>
      </c>
    </row>
    <row r="93" customFormat="false" ht="21.75" hidden="false" customHeight="true" outlineLevel="0" collapsed="false">
      <c r="A93" s="10"/>
      <c r="B93" s="11" t="str">
        <f aca="false">IF(A93="","",A93-$A$4+1)</f>
        <v/>
      </c>
      <c r="C93" s="12"/>
      <c r="D93" s="14"/>
      <c r="E93" s="14"/>
      <c r="F93" s="14"/>
      <c r="G93" s="15"/>
      <c r="H93" s="15"/>
      <c r="I93" s="14"/>
      <c r="J93" s="16" t="str">
        <f aca="false">IF(A93="","",SUM(C$4:C93))</f>
        <v/>
      </c>
    </row>
    <row r="94" customFormat="false" ht="21.75" hidden="false" customHeight="true" outlineLevel="0" collapsed="false">
      <c r="A94" s="10"/>
      <c r="B94" s="11" t="str">
        <f aca="false">IF(A94="","",A94-$A$4+1)</f>
        <v/>
      </c>
      <c r="C94" s="12"/>
      <c r="D94" s="14"/>
      <c r="E94" s="14"/>
      <c r="F94" s="14"/>
      <c r="G94" s="15"/>
      <c r="H94" s="15"/>
      <c r="I94" s="14"/>
      <c r="J94" s="16" t="str">
        <f aca="false">IF(A94="","",SUM(C$4:C94))</f>
        <v/>
      </c>
    </row>
    <row r="95" customFormat="false" ht="21.75" hidden="false" customHeight="true" outlineLevel="0" collapsed="false">
      <c r="A95" s="10"/>
      <c r="B95" s="11" t="str">
        <f aca="false">IF(A95="","",A95-$A$4+1)</f>
        <v/>
      </c>
      <c r="C95" s="12"/>
      <c r="D95" s="14"/>
      <c r="E95" s="14"/>
      <c r="F95" s="14"/>
      <c r="G95" s="15"/>
      <c r="H95" s="15"/>
      <c r="I95" s="14"/>
      <c r="J95" s="16" t="str">
        <f aca="false">IF(A95="","",SUM(C$4:C95))</f>
        <v/>
      </c>
    </row>
    <row r="96" customFormat="false" ht="21.75" hidden="false" customHeight="true" outlineLevel="0" collapsed="false">
      <c r="A96" s="10"/>
      <c r="B96" s="11" t="str">
        <f aca="false">IF(A96="","",A96-$A$4+1)</f>
        <v/>
      </c>
      <c r="C96" s="12"/>
      <c r="D96" s="14"/>
      <c r="E96" s="14"/>
      <c r="F96" s="14"/>
      <c r="G96" s="15"/>
      <c r="H96" s="15"/>
      <c r="I96" s="14"/>
      <c r="J96" s="16" t="str">
        <f aca="false">IF(A96="","",SUM(C$4:C96))</f>
        <v/>
      </c>
    </row>
    <row r="97" customFormat="false" ht="21.75" hidden="false" customHeight="true" outlineLevel="0" collapsed="false">
      <c r="A97" s="10"/>
      <c r="B97" s="11" t="str">
        <f aca="false">IF(A97="","",A97-$A$4+1)</f>
        <v/>
      </c>
      <c r="C97" s="12"/>
      <c r="D97" s="14"/>
      <c r="E97" s="14"/>
      <c r="F97" s="14"/>
      <c r="G97" s="15"/>
      <c r="H97" s="15"/>
      <c r="I97" s="14"/>
      <c r="J97" s="16" t="str">
        <f aca="false">IF(A97="","",SUM(C$4:C97))</f>
        <v/>
      </c>
    </row>
    <row r="98" customFormat="false" ht="21.75" hidden="false" customHeight="true" outlineLevel="0" collapsed="false">
      <c r="A98" s="10"/>
      <c r="B98" s="11" t="str">
        <f aca="false">IF(A98="","",A98-$A$4+1)</f>
        <v/>
      </c>
      <c r="C98" s="12"/>
      <c r="D98" s="14"/>
      <c r="E98" s="14"/>
      <c r="F98" s="14"/>
      <c r="G98" s="15"/>
      <c r="H98" s="15"/>
      <c r="I98" s="14"/>
      <c r="J98" s="16" t="str">
        <f aca="false">IF(A98="","",SUM(C$4:C98))</f>
        <v/>
      </c>
    </row>
    <row r="99" customFormat="false" ht="21.75" hidden="false" customHeight="true" outlineLevel="0" collapsed="false">
      <c r="A99" s="10"/>
      <c r="B99" s="11" t="str">
        <f aca="false">IF(A99="","",A99-$A$4+1)</f>
        <v/>
      </c>
      <c r="C99" s="12"/>
      <c r="D99" s="14"/>
      <c r="E99" s="14"/>
      <c r="F99" s="14"/>
      <c r="G99" s="15"/>
      <c r="H99" s="15"/>
      <c r="I99" s="14"/>
      <c r="J99" s="16" t="str">
        <f aca="false">IF(A99="","",SUM(C$4:C99))</f>
        <v/>
      </c>
    </row>
    <row r="100" customFormat="false" ht="21.75" hidden="false" customHeight="true" outlineLevel="0" collapsed="false">
      <c r="A100" s="10"/>
      <c r="B100" s="11" t="str">
        <f aca="false">IF(A100="","",A100-$A$4+1)</f>
        <v/>
      </c>
      <c r="C100" s="12"/>
      <c r="D100" s="14"/>
      <c r="E100" s="14"/>
      <c r="F100" s="14"/>
      <c r="G100" s="15"/>
      <c r="H100" s="15"/>
      <c r="I100" s="14"/>
      <c r="J100" s="16" t="str">
        <f aca="false">IF(A100="","",SUM(C$4:C100))</f>
        <v/>
      </c>
    </row>
    <row r="101" customFormat="false" ht="21.75" hidden="false" customHeight="true" outlineLevel="0" collapsed="false">
      <c r="A101" s="10"/>
      <c r="B101" s="11" t="str">
        <f aca="false">IF(A101="","",A101-$A$4+1)</f>
        <v/>
      </c>
      <c r="C101" s="12"/>
      <c r="D101" s="14"/>
      <c r="E101" s="14"/>
      <c r="F101" s="14"/>
      <c r="G101" s="15"/>
      <c r="H101" s="15"/>
      <c r="I101" s="14"/>
      <c r="J101" s="16" t="str">
        <f aca="false">IF(A101="","",SUM(C$4:C101))</f>
        <v/>
      </c>
    </row>
    <row r="102" customFormat="false" ht="21.75" hidden="false" customHeight="true" outlineLevel="0" collapsed="false">
      <c r="A102" s="10"/>
      <c r="B102" s="11" t="str">
        <f aca="false">IF(A102="","",A102-$A$4+1)</f>
        <v/>
      </c>
      <c r="C102" s="12"/>
      <c r="D102" s="14"/>
      <c r="E102" s="14"/>
      <c r="F102" s="14"/>
      <c r="G102" s="15"/>
      <c r="H102" s="15"/>
      <c r="I102" s="14"/>
      <c r="J102" s="16" t="str">
        <f aca="false">IF(A102="","",SUM(C$4:C102))</f>
        <v/>
      </c>
    </row>
    <row r="103" customFormat="false" ht="21.75" hidden="false" customHeight="true" outlineLevel="0" collapsed="false">
      <c r="A103" s="10"/>
      <c r="B103" s="11" t="str">
        <f aca="false">IF(A103="","",A103-$A$4+1)</f>
        <v/>
      </c>
      <c r="C103" s="12"/>
      <c r="D103" s="14"/>
      <c r="E103" s="14"/>
      <c r="F103" s="14"/>
      <c r="G103" s="15"/>
      <c r="H103" s="15"/>
      <c r="I103" s="14"/>
      <c r="J103" s="16" t="str">
        <f aca="false">IF(A103="","",SUM(C$4:C103))</f>
        <v/>
      </c>
    </row>
  </sheetData>
  <mergeCells count="2">
    <mergeCell ref="A1:I1"/>
    <mergeCell ref="A2:I2"/>
  </mergeCells>
  <conditionalFormatting sqref="C4:C103">
    <cfRule type="dataBar" priority="2">
      <dataBar showValue="1" minLength="10" maxLength="90">
        <cfvo type="num" val="0"/>
        <cfvo type="num" val="8"/>
        <color rgb="FF63BE7B"/>
      </dataBar>
      <extLst>
        <ext xmlns:x14="http://schemas.microsoft.com/office/spreadsheetml/2009/9/main" uri="{B025F937-C7B1-47D3-B67F-A62EFF666E3E}">
          <x14:id>{D4DCB0D1-D4A8-4EF0-BD4A-651F935EAF8A}</x14:id>
        </ext>
      </extLst>
    </cfRule>
  </conditionalFormatting>
  <conditionalFormatting sqref="G4:H103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DCB0D1-D4A8-4EF0-BD4A-651F935EAF8A}">
            <x14:dataBar minLength="10" maxLength="90" axisPosition="none" gradient="true">
              <x14:cfvo type="num">
                <xm:f>0</xm:f>
              </x14:cfvo>
              <x14:cfvo type="num">
                <xm:f>8</xm:f>
              </x14:cfvo>
              <x14:negativeFillColor rgb="FF63BE7B"/>
              <x14:axisColor rgb="FF000000"/>
            </x14:dataBar>
          </x14:cfRule>
          <xm:sqref>C4:C103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4"/>
  </cols>
  <sheetData>
    <row r="1" customFormat="false" ht="27.75" hidden="false" customHeight="true" outlineLevel="0" collapsed="false">
      <c r="A1" s="7" t="s">
        <v>29</v>
      </c>
      <c r="B1" s="7"/>
      <c r="C1" s="7"/>
      <c r="D1" s="7"/>
      <c r="E1" s="7"/>
      <c r="F1" s="7"/>
    </row>
    <row r="2" customFormat="false" ht="12.65" hidden="false" customHeight="false" outlineLevel="0" collapsed="false">
      <c r="A2" s="8" t="s">
        <v>30</v>
      </c>
      <c r="B2" s="8"/>
      <c r="C2" s="8"/>
      <c r="D2" s="8"/>
      <c r="E2" s="8"/>
      <c r="F2" s="8"/>
    </row>
    <row r="4" customFormat="false" ht="15" hidden="false" customHeight="true" outlineLevel="0" collapsed="false">
      <c r="A4" s="17" t="s">
        <v>31</v>
      </c>
      <c r="B4" s="17"/>
      <c r="D4" s="17" t="s">
        <v>32</v>
      </c>
      <c r="E4" s="17"/>
      <c r="F4" s="17"/>
    </row>
    <row r="5" customFormat="false" ht="15" hidden="false" customHeight="false" outlineLevel="0" collapsed="false">
      <c r="A5" s="18" t="s">
        <v>33</v>
      </c>
      <c r="B5" s="10" t="n">
        <v>46136</v>
      </c>
      <c r="D5" s="18" t="s">
        <v>34</v>
      </c>
      <c r="E5" s="19" t="n">
        <f aca="false">COUNTA('Daily Log'!A4:A103)</f>
        <v>1</v>
      </c>
    </row>
    <row r="6" customFormat="false" ht="15" hidden="false" customHeight="false" outlineLevel="0" collapsed="false">
      <c r="A6" s="18" t="s">
        <v>35</v>
      </c>
      <c r="B6" s="10" t="n">
        <v>46319</v>
      </c>
      <c r="D6" s="18" t="s">
        <v>36</v>
      </c>
      <c r="E6" s="20" t="n">
        <f aca="false">SUM('Daily Log'!C4:C103)</f>
        <v>6</v>
      </c>
    </row>
    <row r="7" customFormat="false" ht="15" hidden="false" customHeight="false" outlineLevel="0" collapsed="false">
      <c r="A7" s="18" t="s">
        <v>37</v>
      </c>
      <c r="B7" s="12" t="n">
        <v>6</v>
      </c>
      <c r="D7" s="18" t="s">
        <v>38</v>
      </c>
      <c r="E7" s="21" t="n">
        <f aca="false">IFERROR(E6/E5,0)</f>
        <v>6</v>
      </c>
    </row>
    <row r="8" customFormat="false" ht="15" hidden="false" customHeight="false" outlineLevel="0" collapsed="false">
      <c r="A8" s="18" t="s">
        <v>39</v>
      </c>
      <c r="B8" s="22" t="n">
        <f aca="true">TODAY()</f>
        <v>46136</v>
      </c>
      <c r="D8" s="18" t="s">
        <v>40</v>
      </c>
      <c r="E8" s="23" t="n">
        <f aca="false">B8-B5+1</f>
        <v>1</v>
      </c>
    </row>
    <row r="9" customFormat="false" ht="15" hidden="false" customHeight="false" outlineLevel="0" collapsed="false">
      <c r="D9" s="18" t="s">
        <v>41</v>
      </c>
      <c r="E9" s="24" t="n">
        <f aca="false">MAX(0,B6-B8)</f>
        <v>183</v>
      </c>
    </row>
    <row r="10" customFormat="false" ht="28.35" hidden="false" customHeight="false" outlineLevel="0" collapsed="false">
      <c r="D10" s="18" t="s">
        <v>42</v>
      </c>
      <c r="E10" s="25" t="n">
        <f aca="false">E8*B7</f>
        <v>6</v>
      </c>
    </row>
    <row r="11" customFormat="false" ht="15" hidden="false" customHeight="false" outlineLevel="0" collapsed="false">
      <c r="D11" s="18" t="s">
        <v>43</v>
      </c>
      <c r="E11" s="26" t="n">
        <f aca="false">E6-E10</f>
        <v>0</v>
      </c>
    </row>
    <row r="12" customFormat="false" ht="15" hidden="false" customHeight="false" outlineLevel="0" collapsed="false">
      <c r="D12" s="18" t="s">
        <v>44</v>
      </c>
      <c r="E12" s="27" t="n">
        <f aca="false">IFERROR(E6/E10,0)</f>
        <v>1</v>
      </c>
    </row>
    <row r="13" customFormat="false" ht="28.35" hidden="false" customHeight="false" outlineLevel="0" collapsed="false">
      <c r="D13" s="18" t="s">
        <v>45</v>
      </c>
      <c r="E13" s="20" t="n">
        <f aca="false">E6+E7*E9</f>
        <v>1104</v>
      </c>
    </row>
    <row r="15" customFormat="false" ht="15" hidden="false" customHeight="true" outlineLevel="0" collapsed="false">
      <c r="A15" s="17" t="s">
        <v>46</v>
      </c>
      <c r="B15" s="17"/>
      <c r="C15" s="17"/>
    </row>
    <row r="16" customFormat="false" ht="15" hidden="false" customHeight="false" outlineLevel="0" collapsed="false">
      <c r="A16" s="9" t="s">
        <v>18</v>
      </c>
      <c r="B16" s="9" t="s">
        <v>17</v>
      </c>
      <c r="C16" s="9" t="s">
        <v>47</v>
      </c>
    </row>
    <row r="17" customFormat="false" ht="15" hidden="false" customHeight="false" outlineLevel="0" collapsed="false">
      <c r="A17" s="13" t="s">
        <v>25</v>
      </c>
      <c r="B17" s="16" t="n">
        <f aca="false">SUMIF('Daily Log'!D4:D103,A17,'Daily Log'!C4:C103)</f>
        <v>6</v>
      </c>
      <c r="C17" s="28" t="n">
        <f aca="false">IFERROR(B17/$E$6,0)</f>
        <v>1</v>
      </c>
    </row>
    <row r="18" customFormat="false" ht="15" hidden="false" customHeight="false" outlineLevel="0" collapsed="false">
      <c r="A18" s="13" t="s">
        <v>48</v>
      </c>
      <c r="B18" s="16" t="n">
        <f aca="false">SUMIF('Daily Log'!D4:D103,A18,'Daily Log'!C4:C103)</f>
        <v>0</v>
      </c>
      <c r="C18" s="28" t="n">
        <f aca="false">IFERROR(B18/$E$6,0)</f>
        <v>0</v>
      </c>
    </row>
    <row r="19" customFormat="false" ht="15" hidden="false" customHeight="false" outlineLevel="0" collapsed="false">
      <c r="A19" s="13" t="s">
        <v>49</v>
      </c>
      <c r="B19" s="16" t="n">
        <f aca="false">SUMIF('Daily Log'!D4:D103,A19,'Daily Log'!C4:C103)</f>
        <v>0</v>
      </c>
      <c r="C19" s="28" t="n">
        <f aca="false">IFERROR(B19/$E$6,0)</f>
        <v>0</v>
      </c>
    </row>
    <row r="20" customFormat="false" ht="15" hidden="false" customHeight="false" outlineLevel="0" collapsed="false">
      <c r="A20" s="13" t="s">
        <v>50</v>
      </c>
      <c r="B20" s="16" t="n">
        <f aca="false">SUMIF('Daily Log'!D4:D103,A20,'Daily Log'!C4:C103)</f>
        <v>0</v>
      </c>
      <c r="C20" s="28" t="n">
        <f aca="false">IFERROR(B20/$E$6,0)</f>
        <v>0</v>
      </c>
    </row>
    <row r="21" customFormat="false" ht="15" hidden="false" customHeight="false" outlineLevel="0" collapsed="false">
      <c r="A21" s="13" t="s">
        <v>51</v>
      </c>
      <c r="B21" s="16" t="n">
        <f aca="false">SUMIF('Daily Log'!D4:D103,A21,'Daily Log'!C4:C103)</f>
        <v>0</v>
      </c>
      <c r="C21" s="28" t="n">
        <f aca="false">IFERROR(B21/$E$6,0)</f>
        <v>0</v>
      </c>
    </row>
    <row r="22" customFormat="false" ht="15" hidden="false" customHeight="false" outlineLevel="0" collapsed="false">
      <c r="A22" s="13" t="s">
        <v>52</v>
      </c>
      <c r="B22" s="16" t="n">
        <f aca="false">SUMIF('Daily Log'!D4:D103,A22,'Daily Log'!C4:C103)</f>
        <v>0</v>
      </c>
      <c r="C22" s="28" t="n">
        <f aca="false">IFERROR(B22/$E$6,0)</f>
        <v>0</v>
      </c>
    </row>
    <row r="23" customFormat="false" ht="15" hidden="false" customHeight="false" outlineLevel="0" collapsed="false">
      <c r="A23" s="13" t="s">
        <v>53</v>
      </c>
      <c r="B23" s="16" t="n">
        <f aca="false">SUMIF('Daily Log'!D4:D103,A23,'Daily Log'!C4:C103)</f>
        <v>0</v>
      </c>
      <c r="C23" s="28" t="n">
        <f aca="false">IFERROR(B23/$E$6,0)</f>
        <v>0</v>
      </c>
    </row>
    <row r="24" customFormat="false" ht="15" hidden="false" customHeight="false" outlineLevel="0" collapsed="false">
      <c r="A24" s="14" t="s">
        <v>54</v>
      </c>
      <c r="B24" s="16" t="n">
        <f aca="false">SUMIF('Daily Log'!D4:D103,A24,'Daily Log'!C4:C103)</f>
        <v>0</v>
      </c>
      <c r="C24" s="28" t="n">
        <f aca="false">IFERROR(B24/$E$6,0)</f>
        <v>0</v>
      </c>
    </row>
    <row r="25" customFormat="false" ht="15" hidden="false" customHeight="false" outlineLevel="0" collapsed="false">
      <c r="A25" s="29" t="s">
        <v>55</v>
      </c>
      <c r="B25" s="30" t="n">
        <f aca="false">SUM(B17:B24)</f>
        <v>6</v>
      </c>
      <c r="C25" s="31" t="n">
        <f aca="false">IFERROR(B25/$E$6,0)</f>
        <v>1</v>
      </c>
    </row>
    <row r="27" customFormat="false" ht="15" hidden="false" customHeight="true" outlineLevel="0" collapsed="false">
      <c r="A27" s="17" t="s">
        <v>56</v>
      </c>
      <c r="B27" s="17"/>
      <c r="C27" s="17"/>
      <c r="D27" s="17"/>
      <c r="E27" s="17"/>
      <c r="F27" s="17"/>
    </row>
    <row r="28" customFormat="false" ht="60" hidden="false" customHeight="true" outlineLevel="0" collapsed="false">
      <c r="A28" s="32" t="s">
        <v>57</v>
      </c>
      <c r="B28" s="32"/>
      <c r="C28" s="32"/>
      <c r="D28" s="32"/>
      <c r="E28" s="32"/>
      <c r="F28" s="32"/>
    </row>
  </sheetData>
  <mergeCells count="7">
    <mergeCell ref="A1:F1"/>
    <mergeCell ref="A2:F2"/>
    <mergeCell ref="A4:B4"/>
    <mergeCell ref="D4:F4"/>
    <mergeCell ref="A15:C15"/>
    <mergeCell ref="A27:F27"/>
    <mergeCell ref="A28:F28"/>
  </mergeCells>
  <conditionalFormatting sqref="B17:B24">
    <cfRule type="dataBar" priority="2">
      <dataBar showValue="1" minLength="10" maxLength="90">
        <cfvo type="num" val="0"/>
        <cfvo type="max" val="0"/>
        <color rgb="FF4472C4"/>
      </dataBar>
      <extLst>
        <ext xmlns:x14="http://schemas.microsoft.com/office/spreadsheetml/2009/9/main" uri="{B025F937-C7B1-47D3-B67F-A62EFF666E3E}">
          <x14:id>{9565EDA5-6DA1-4E86-BD1B-67F6AE501BA5}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65EDA5-6DA1-4E86-BD1B-67F6AE501BA5}">
            <x14:dataBar minLength="10" maxLength="90" axisPosition="none" gradient="true">
              <x14:cfvo type="num">
                <xm:f>0</xm:f>
              </x14:cfvo>
              <x14:cfvo type="max"/>
              <x14:negativeFillColor rgb="FF4472C4"/>
              <x14:axisColor rgb="FF000000"/>
            </x14:dataBar>
          </x14:cfRule>
          <xm:sqref>B17:B24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7" t="s">
        <v>58</v>
      </c>
      <c r="B1" s="7"/>
      <c r="C1" s="7"/>
      <c r="D1" s="7"/>
      <c r="E1" s="7"/>
    </row>
    <row r="2" customFormat="false" ht="12.65" hidden="false" customHeight="false" outlineLevel="0" collapsed="false">
      <c r="A2" s="33" t="s">
        <v>59</v>
      </c>
      <c r="B2" s="33"/>
      <c r="C2" s="33"/>
      <c r="D2" s="33"/>
      <c r="E2" s="33"/>
    </row>
    <row r="3" customFormat="false" ht="31.5" hidden="false" customHeight="true" outlineLevel="0" collapsed="false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</row>
    <row r="4" customFormat="false" ht="25.5" hidden="false" customHeight="true" outlineLevel="0" collapsed="false">
      <c r="A4" s="18" t="s">
        <v>65</v>
      </c>
      <c r="B4" s="5" t="s">
        <v>66</v>
      </c>
      <c r="C4" s="4" t="s">
        <v>67</v>
      </c>
      <c r="D4" s="15" t="s">
        <v>68</v>
      </c>
      <c r="E4" s="11" t="s">
        <v>69</v>
      </c>
    </row>
    <row r="5" customFormat="false" ht="25.5" hidden="false" customHeight="true" outlineLevel="0" collapsed="false">
      <c r="A5" s="18" t="s">
        <v>65</v>
      </c>
      <c r="B5" s="5" t="s">
        <v>70</v>
      </c>
      <c r="C5" s="4" t="s">
        <v>71</v>
      </c>
      <c r="D5" s="15" t="s">
        <v>72</v>
      </c>
      <c r="E5" s="11" t="s">
        <v>69</v>
      </c>
    </row>
    <row r="6" customFormat="false" ht="25.5" hidden="false" customHeight="true" outlineLevel="0" collapsed="false">
      <c r="A6" s="18" t="s">
        <v>65</v>
      </c>
      <c r="B6" s="5" t="s">
        <v>73</v>
      </c>
      <c r="C6" s="4" t="s">
        <v>74</v>
      </c>
      <c r="D6" s="15" t="s">
        <v>72</v>
      </c>
      <c r="E6" s="11" t="s">
        <v>75</v>
      </c>
    </row>
    <row r="7" customFormat="false" ht="25.5" hidden="false" customHeight="true" outlineLevel="0" collapsed="false">
      <c r="A7" s="18" t="s">
        <v>76</v>
      </c>
      <c r="B7" s="5" t="s">
        <v>77</v>
      </c>
      <c r="C7" s="4" t="s">
        <v>78</v>
      </c>
      <c r="D7" s="15" t="s">
        <v>68</v>
      </c>
      <c r="E7" s="11" t="s">
        <v>79</v>
      </c>
    </row>
    <row r="8" customFormat="false" ht="25.5" hidden="false" customHeight="true" outlineLevel="0" collapsed="false">
      <c r="A8" s="18" t="s">
        <v>76</v>
      </c>
      <c r="B8" s="5" t="s">
        <v>80</v>
      </c>
      <c r="C8" s="5" t="s">
        <v>81</v>
      </c>
      <c r="D8" s="15" t="s">
        <v>72</v>
      </c>
      <c r="E8" s="11" t="s">
        <v>75</v>
      </c>
    </row>
    <row r="9" customFormat="false" ht="25.5" hidden="false" customHeight="true" outlineLevel="0" collapsed="false">
      <c r="A9" s="18" t="s">
        <v>82</v>
      </c>
      <c r="B9" s="5" t="s">
        <v>83</v>
      </c>
      <c r="C9" s="4" t="s">
        <v>84</v>
      </c>
      <c r="D9" s="15" t="s">
        <v>72</v>
      </c>
      <c r="E9" s="11" t="s">
        <v>85</v>
      </c>
    </row>
    <row r="10" customFormat="false" ht="25.5" hidden="false" customHeight="true" outlineLevel="0" collapsed="false">
      <c r="A10" s="18" t="s">
        <v>82</v>
      </c>
      <c r="B10" s="5" t="s">
        <v>86</v>
      </c>
      <c r="C10" s="5" t="s">
        <v>87</v>
      </c>
      <c r="D10" s="15" t="s">
        <v>72</v>
      </c>
      <c r="E10" s="11" t="s">
        <v>88</v>
      </c>
    </row>
    <row r="11" customFormat="false" ht="25.5" hidden="false" customHeight="true" outlineLevel="0" collapsed="false">
      <c r="A11" s="18" t="s">
        <v>82</v>
      </c>
      <c r="B11" s="5" t="s">
        <v>89</v>
      </c>
      <c r="C11" s="4" t="s">
        <v>90</v>
      </c>
      <c r="D11" s="15" t="s">
        <v>72</v>
      </c>
      <c r="E11" s="11" t="s">
        <v>88</v>
      </c>
    </row>
    <row r="12" customFormat="false" ht="25.5" hidden="false" customHeight="true" outlineLevel="0" collapsed="false">
      <c r="A12" s="18" t="s">
        <v>50</v>
      </c>
      <c r="B12" s="5" t="s">
        <v>91</v>
      </c>
      <c r="C12" s="4" t="s">
        <v>92</v>
      </c>
      <c r="D12" s="15" t="s">
        <v>72</v>
      </c>
      <c r="E12" s="11" t="s">
        <v>93</v>
      </c>
    </row>
    <row r="13" customFormat="false" ht="25.5" hidden="false" customHeight="true" outlineLevel="0" collapsed="false">
      <c r="A13" s="18" t="s">
        <v>50</v>
      </c>
      <c r="B13" s="5" t="s">
        <v>94</v>
      </c>
      <c r="C13" s="5" t="s">
        <v>95</v>
      </c>
      <c r="D13" s="15" t="s">
        <v>72</v>
      </c>
      <c r="E13" s="11" t="s">
        <v>96</v>
      </c>
    </row>
    <row r="14" customFormat="false" ht="25.5" hidden="false" customHeight="true" outlineLevel="0" collapsed="false">
      <c r="A14" s="18" t="s">
        <v>97</v>
      </c>
      <c r="B14" s="4" t="s">
        <v>98</v>
      </c>
      <c r="C14" s="4" t="s">
        <v>99</v>
      </c>
      <c r="D14" s="15" t="s">
        <v>68</v>
      </c>
      <c r="E14" s="11" t="s">
        <v>79</v>
      </c>
    </row>
    <row r="15" customFormat="false" ht="25.5" hidden="false" customHeight="true" outlineLevel="0" collapsed="false">
      <c r="A15" s="18" t="s">
        <v>97</v>
      </c>
      <c r="B15" s="5" t="s">
        <v>100</v>
      </c>
      <c r="C15" s="5" t="s">
        <v>101</v>
      </c>
      <c r="D15" s="15" t="s">
        <v>72</v>
      </c>
      <c r="E15" s="11" t="s">
        <v>88</v>
      </c>
    </row>
    <row r="16" customFormat="false" ht="25.5" hidden="false" customHeight="true" outlineLevel="0" collapsed="false">
      <c r="A16" s="18" t="s">
        <v>97</v>
      </c>
      <c r="B16" s="5" t="s">
        <v>102</v>
      </c>
      <c r="C16" s="4" t="s">
        <v>103</v>
      </c>
      <c r="D16" s="15" t="s">
        <v>72</v>
      </c>
      <c r="E16" s="11" t="s">
        <v>93</v>
      </c>
    </row>
    <row r="17" customFormat="false" ht="25.5" hidden="false" customHeight="true" outlineLevel="0" collapsed="false">
      <c r="A17" s="18" t="s">
        <v>104</v>
      </c>
      <c r="B17" s="5" t="s">
        <v>105</v>
      </c>
      <c r="C17" s="5" t="s">
        <v>106</v>
      </c>
      <c r="D17" s="15" t="s">
        <v>72</v>
      </c>
      <c r="E17" s="11" t="s">
        <v>79</v>
      </c>
    </row>
    <row r="18" customFormat="false" ht="25.5" hidden="false" customHeight="true" outlineLevel="0" collapsed="false">
      <c r="A18" s="18" t="s">
        <v>104</v>
      </c>
      <c r="B18" s="5" t="s">
        <v>107</v>
      </c>
      <c r="C18" s="5" t="s">
        <v>108</v>
      </c>
      <c r="D18" s="15" t="s">
        <v>72</v>
      </c>
      <c r="E18" s="11" t="s">
        <v>109</v>
      </c>
    </row>
    <row r="19" customFormat="false" ht="25.5" hidden="false" customHeight="true" outlineLevel="0" collapsed="false">
      <c r="A19" s="18" t="s">
        <v>110</v>
      </c>
      <c r="B19" s="5" t="s">
        <v>111</v>
      </c>
      <c r="C19" s="4" t="s">
        <v>112</v>
      </c>
      <c r="D19" s="15" t="s">
        <v>113</v>
      </c>
      <c r="E19" s="11" t="s">
        <v>114</v>
      </c>
    </row>
    <row r="20" customFormat="false" ht="25.5" hidden="false" customHeight="true" outlineLevel="0" collapsed="false">
      <c r="A20" s="18" t="s">
        <v>110</v>
      </c>
      <c r="B20" s="5" t="s">
        <v>115</v>
      </c>
      <c r="C20" s="5" t="s">
        <v>116</v>
      </c>
      <c r="D20" s="15" t="s">
        <v>72</v>
      </c>
      <c r="E20" s="11" t="s">
        <v>96</v>
      </c>
    </row>
    <row r="21" customFormat="false" ht="25.5" hidden="false" customHeight="true" outlineLevel="0" collapsed="false">
      <c r="A21" s="18" t="s">
        <v>117</v>
      </c>
      <c r="B21" s="4" t="s">
        <v>118</v>
      </c>
      <c r="C21" s="4" t="s">
        <v>119</v>
      </c>
      <c r="D21" s="15" t="s">
        <v>72</v>
      </c>
      <c r="E21" s="11" t="s">
        <v>120</v>
      </c>
    </row>
    <row r="22" customFormat="false" ht="25.5" hidden="false" customHeight="true" outlineLevel="0" collapsed="false">
      <c r="A22" s="18" t="s">
        <v>117</v>
      </c>
      <c r="B22" s="5" t="s">
        <v>121</v>
      </c>
      <c r="C22" s="4" t="s">
        <v>122</v>
      </c>
      <c r="D22" s="15" t="s">
        <v>72</v>
      </c>
      <c r="E22" s="11" t="s">
        <v>123</v>
      </c>
    </row>
    <row r="23" customFormat="false" ht="25.5" hidden="false" customHeight="true" outlineLevel="0" collapsed="false">
      <c r="A23" s="18" t="s">
        <v>124</v>
      </c>
      <c r="B23" s="4" t="s">
        <v>125</v>
      </c>
      <c r="C23" s="4" t="s">
        <v>126</v>
      </c>
      <c r="D23" s="15" t="s">
        <v>72</v>
      </c>
      <c r="E23" s="11" t="s">
        <v>109</v>
      </c>
    </row>
    <row r="24" customFormat="false" ht="25.5" hidden="false" customHeight="true" outlineLevel="0" collapsed="false">
      <c r="A24" s="18" t="s">
        <v>124</v>
      </c>
      <c r="B24" s="5" t="s">
        <v>127</v>
      </c>
      <c r="C24" s="4" t="s">
        <v>128</v>
      </c>
      <c r="D24" s="15" t="s">
        <v>72</v>
      </c>
      <c r="E24" s="11" t="s">
        <v>129</v>
      </c>
    </row>
    <row r="25" customFormat="false" ht="25.5" hidden="false" customHeight="true" outlineLevel="0" collapsed="false">
      <c r="A25" s="18" t="s">
        <v>124</v>
      </c>
      <c r="B25" s="4" t="s">
        <v>130</v>
      </c>
      <c r="C25" s="4" t="s">
        <v>131</v>
      </c>
      <c r="D25" s="15" t="s">
        <v>72</v>
      </c>
      <c r="E25" s="11" t="s">
        <v>132</v>
      </c>
    </row>
    <row r="27" customFormat="false" ht="15" hidden="false" customHeight="true" outlineLevel="0" collapsed="false">
      <c r="A27" s="17" t="s">
        <v>133</v>
      </c>
      <c r="B27" s="17"/>
      <c r="C27" s="17"/>
      <c r="D27" s="17"/>
      <c r="E27" s="17"/>
    </row>
    <row r="28" customFormat="false" ht="15" hidden="false" customHeight="false" outlineLevel="0" collapsed="false">
      <c r="A28" s="18" t="s">
        <v>134</v>
      </c>
      <c r="B28" s="23" t="n">
        <v>22</v>
      </c>
    </row>
    <row r="29" customFormat="false" ht="15" hidden="false" customHeight="false" outlineLevel="0" collapsed="false">
      <c r="A29" s="18" t="s">
        <v>135</v>
      </c>
      <c r="B29" s="34" t="n">
        <f aca="false">COUNTIF(D4:D25,"Done ✓")</f>
        <v>0</v>
      </c>
    </row>
    <row r="30" customFormat="false" ht="15" hidden="false" customHeight="false" outlineLevel="0" collapsed="false">
      <c r="A30" s="18" t="s">
        <v>136</v>
      </c>
      <c r="B30" s="35" t="n">
        <f aca="false">COUNTIF(D4:D25,"In progress")+COUNTIF(D4:D25,"Learning 學緊")</f>
        <v>4</v>
      </c>
    </row>
    <row r="31" customFormat="false" ht="15" hidden="false" customHeight="false" outlineLevel="0" collapsed="false">
      <c r="A31" s="18" t="s">
        <v>137</v>
      </c>
      <c r="B31" s="36" t="n">
        <f aca="false">IFERROR(B29/B28,0)</f>
        <v>0</v>
      </c>
    </row>
  </sheetData>
  <mergeCells count="3">
    <mergeCell ref="A1:E1"/>
    <mergeCell ref="A2:E2"/>
    <mergeCell ref="A27:E27"/>
  </mergeCells>
  <dataValidations count="1">
    <dataValidation allowBlank="true" errorStyle="stop" operator="between" showDropDown="false" showErrorMessage="false" showInputMessage="false" sqref="D4:D25" type="list">
      <formula1>"Not started,Learning 學緊,In progress,Done 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2026-04-24T07:10:23Z</dcterms:created>
  <dc:creator>openpyxl</dc:creator>
  <dc:description/>
  <dc:language>en-US</dc:language>
  <cp:lastModifiedBy/>
  <dcterms:modified xsi:type="dcterms:W3CDTF">2026-04-24T07:10:30Z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